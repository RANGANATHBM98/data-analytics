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NALYTICS_ALL\"/>
    </mc:Choice>
  </mc:AlternateContent>
  <xr:revisionPtr revIDLastSave="0" documentId="13_ncr:1_{B1BA2525-1394-45A9-BAEC-2041062E85BB}" xr6:coauthVersionLast="47" xr6:coauthVersionMax="47" xr10:uidLastSave="{00000000-0000-0000-0000-000000000000}"/>
  <bookViews>
    <workbookView xWindow="-108" yWindow="-108" windowWidth="23256" windowHeight="12456" activeTab="3" xr2:uid="{8F9F4605-7EB3-4A88-B33F-B5AAE575BD10}"/>
  </bookViews>
  <sheets>
    <sheet name="Sheet1" sheetId="2" r:id="rId1"/>
    <sheet name="Sheet2" sheetId="3" r:id="rId2"/>
    <sheet name="Sheet3" sheetId="4" r:id="rId3"/>
    <sheet name="xlookup and vlookup" sheetId="6" r:id="rId4"/>
    <sheet name="Sheet6" sheetId="7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3" i="6" l="1"/>
  <c r="Q4" i="6"/>
  <c r="Q5" i="6"/>
  <c r="Q6" i="6"/>
  <c r="Q2" i="6"/>
  <c r="P3" i="6"/>
  <c r="P4" i="6"/>
  <c r="P5" i="6"/>
  <c r="P6" i="6"/>
  <c r="P2" i="6"/>
  <c r="O3" i="6"/>
  <c r="O4" i="6"/>
  <c r="O5" i="6"/>
  <c r="O6" i="6"/>
  <c r="O2" i="6"/>
  <c r="N2" i="6"/>
  <c r="N3" i="6"/>
  <c r="N4" i="6"/>
  <c r="N5" i="6"/>
  <c r="N6" i="6"/>
  <c r="K3" i="6"/>
  <c r="K4" i="6"/>
  <c r="K5" i="6"/>
  <c r="K6" i="6"/>
  <c r="J3" i="6"/>
  <c r="J4" i="6"/>
  <c r="J5" i="6"/>
  <c r="J6" i="6"/>
  <c r="I3" i="6"/>
  <c r="I4" i="6"/>
  <c r="I5" i="6"/>
  <c r="I6" i="6"/>
  <c r="H3" i="6"/>
  <c r="H4" i="6"/>
  <c r="H5" i="6"/>
  <c r="H6" i="6"/>
  <c r="K2" i="6"/>
  <c r="J2" i="6"/>
  <c r="I2" i="6"/>
  <c r="H2" i="6"/>
  <c r="P2" i="4"/>
  <c r="O2" i="4"/>
  <c r="N2" i="4"/>
  <c r="M2" i="4"/>
  <c r="L2" i="4"/>
  <c r="K2" i="4"/>
</calcChain>
</file>

<file path=xl/sharedStrings.xml><?xml version="1.0" encoding="utf-8"?>
<sst xmlns="http://schemas.openxmlformats.org/spreadsheetml/2006/main" count="696" uniqueCount="195">
  <si>
    <t>Order ID</t>
  </si>
  <si>
    <t>Product Name</t>
  </si>
  <si>
    <t>Region</t>
  </si>
  <si>
    <t>Quantity</t>
  </si>
  <si>
    <t>Sales</t>
  </si>
  <si>
    <t>sum</t>
  </si>
  <si>
    <t>sumif</t>
  </si>
  <si>
    <t>sumifs</t>
  </si>
  <si>
    <t>count</t>
  </si>
  <si>
    <t>countif</t>
  </si>
  <si>
    <t>countifs</t>
  </si>
  <si>
    <t>ORD001</t>
  </si>
  <si>
    <t>Ranganath BM</t>
  </si>
  <si>
    <t>Bengaluru</t>
  </si>
  <si>
    <t>Karnataka</t>
  </si>
  <si>
    <t>Technology</t>
  </si>
  <si>
    <t>Laptop Stand</t>
  </si>
  <si>
    <t>South</t>
  </si>
  <si>
    <t>ORD002</t>
  </si>
  <si>
    <t>Arjun Kumar</t>
  </si>
  <si>
    <t>Mysuru</t>
  </si>
  <si>
    <t>Furniture</t>
  </si>
  <si>
    <t>Office Chair</t>
  </si>
  <si>
    <t>ORD003</t>
  </si>
  <si>
    <t>Priya Sharma</t>
  </si>
  <si>
    <t>Chennai</t>
  </si>
  <si>
    <t>Tamil Nadu</t>
  </si>
  <si>
    <t>Wireless Mouse</t>
  </si>
  <si>
    <t>ORD004</t>
  </si>
  <si>
    <t>Rahul Singh</t>
  </si>
  <si>
    <t>Mumbai</t>
  </si>
  <si>
    <t>Maharashtra</t>
  </si>
  <si>
    <t>Office Supplies</t>
  </si>
  <si>
    <t>Notebook</t>
  </si>
  <si>
    <t>West</t>
  </si>
  <si>
    <t>ORD005</t>
  </si>
  <si>
    <t>Sneha Rao</t>
  </si>
  <si>
    <t>Hyderabad</t>
  </si>
  <si>
    <t>Telangana</t>
  </si>
  <si>
    <t>Keyboard</t>
  </si>
  <si>
    <t>ORD006</t>
  </si>
  <si>
    <t>Amit Patel</t>
  </si>
  <si>
    <t>Pune</t>
  </si>
  <si>
    <t>Desk Lamp</t>
  </si>
  <si>
    <t>ORD007</t>
  </si>
  <si>
    <t>Kavya Nair</t>
  </si>
  <si>
    <t>Kochi</t>
  </si>
  <si>
    <t>Kerala</t>
  </si>
  <si>
    <t>File Folder</t>
  </si>
  <si>
    <t>ORD008</t>
  </si>
  <si>
    <t>Vikram Das</t>
  </si>
  <si>
    <t>Delhi</t>
  </si>
  <si>
    <t>Monitor</t>
  </si>
  <si>
    <t>North</t>
  </si>
  <si>
    <t>ORD009</t>
  </si>
  <si>
    <t>Ananya Gupta</t>
  </si>
  <si>
    <t>Jaipur</t>
  </si>
  <si>
    <t>Rajasthan</t>
  </si>
  <si>
    <t>Bookshelf</t>
  </si>
  <si>
    <t>ORD010</t>
  </si>
  <si>
    <t>Rohit Verma</t>
  </si>
  <si>
    <t>Ahmedabad</t>
  </si>
  <si>
    <t>Gujarat</t>
  </si>
  <si>
    <t>Pen Set</t>
  </si>
  <si>
    <t>ORD011</t>
  </si>
  <si>
    <t>Neha Joshi</t>
  </si>
  <si>
    <t>Webcam</t>
  </si>
  <si>
    <t>ORD012</t>
  </si>
  <si>
    <t>Karan Mehta</t>
  </si>
  <si>
    <t>Office Table</t>
  </si>
  <si>
    <t>ORD013</t>
  </si>
  <si>
    <t>Pooja Iyer</t>
  </si>
  <si>
    <t>Headphones</t>
  </si>
  <si>
    <t>ORD014</t>
  </si>
  <si>
    <t>Sanjay Kumar</t>
  </si>
  <si>
    <t>Stapler</t>
  </si>
  <si>
    <t>ORD015</t>
  </si>
  <si>
    <t>Divya Menon</t>
  </si>
  <si>
    <t>Computer Desk</t>
  </si>
  <si>
    <t>ORD016</t>
  </si>
  <si>
    <t>Naveen Reddy</t>
  </si>
  <si>
    <t>USB Hub</t>
  </si>
  <si>
    <t>ORD017</t>
  </si>
  <si>
    <t>Meera Shah</t>
  </si>
  <si>
    <t>Calculator</t>
  </si>
  <si>
    <t>ORD018</t>
  </si>
  <si>
    <t>Ajay Singh</t>
  </si>
  <si>
    <t>Printer</t>
  </si>
  <si>
    <t>ORD019</t>
  </si>
  <si>
    <t>Swati Kapoor</t>
  </si>
  <si>
    <t>Filing Cabinet</t>
  </si>
  <si>
    <t>ORD020</t>
  </si>
  <si>
    <t>Manish Rao</t>
  </si>
  <si>
    <t>Whiteboard</t>
  </si>
  <si>
    <t>max</t>
  </si>
  <si>
    <t>min</t>
  </si>
  <si>
    <t>IF</t>
  </si>
  <si>
    <t>IFS</t>
  </si>
  <si>
    <t>LEN</t>
  </si>
  <si>
    <t>left</t>
  </si>
  <si>
    <t>right</t>
  </si>
  <si>
    <t>text(h2,"dd/mm/yyyy")</t>
  </si>
  <si>
    <t>worst salary</t>
  </si>
  <si>
    <t>IT</t>
  </si>
  <si>
    <t>Tech</t>
  </si>
  <si>
    <t>00</t>
  </si>
  <si>
    <t>05/01/2026</t>
  </si>
  <si>
    <t>carpenter</t>
  </si>
  <si>
    <t>Furn</t>
  </si>
  <si>
    <t>08/01/2026</t>
  </si>
  <si>
    <t>12/01/2026</t>
  </si>
  <si>
    <t>Offi</t>
  </si>
  <si>
    <t>50</t>
  </si>
  <si>
    <t>15/01/2026</t>
  </si>
  <si>
    <t>20/01/2026</t>
  </si>
  <si>
    <t>25/01/2026</t>
  </si>
  <si>
    <t>02/02/2026</t>
  </si>
  <si>
    <t>best salary</t>
  </si>
  <si>
    <t>06/02/2026</t>
  </si>
  <si>
    <t>10/02/2026</t>
  </si>
  <si>
    <t>15/02/2026</t>
  </si>
  <si>
    <t>20/02/2026</t>
  </si>
  <si>
    <t>25/02/2026</t>
  </si>
  <si>
    <t>03/03/2026</t>
  </si>
  <si>
    <t>08/03/2026</t>
  </si>
  <si>
    <t>12/03/2026</t>
  </si>
  <si>
    <t>18/03/2026</t>
  </si>
  <si>
    <t>22/03/2026</t>
  </si>
  <si>
    <t>27/03/2026</t>
  </si>
  <si>
    <t>02/04/2026</t>
  </si>
  <si>
    <t>07/04/2026</t>
  </si>
  <si>
    <t>Customer Name</t>
  </si>
  <si>
    <t>City</t>
  </si>
  <si>
    <t>State</t>
  </si>
  <si>
    <t>Order Date</t>
  </si>
  <si>
    <t>Category</t>
  </si>
  <si>
    <t>TRIM</t>
  </si>
  <si>
    <t>CONCATENATE</t>
  </si>
  <si>
    <t>with 0 instance</t>
  </si>
  <si>
    <t>with 1 instance</t>
  </si>
  <si>
    <t>with 2 instance</t>
  </si>
  <si>
    <t>Technology.Bengaluru@gmail.com</t>
  </si>
  <si>
    <t>05/01-2026</t>
  </si>
  <si>
    <t>05-01/2026</t>
  </si>
  <si>
    <t>Furniture.Mysuru@gmail.com</t>
  </si>
  <si>
    <t>08/01-2026</t>
  </si>
  <si>
    <t>08-01/2026</t>
  </si>
  <si>
    <t>Technology.Chennai@gmail.com</t>
  </si>
  <si>
    <t>12/01-2026</t>
  </si>
  <si>
    <t>12-01/2026</t>
  </si>
  <si>
    <t>Office Supplies.Mumbai@gmail.com</t>
  </si>
  <si>
    <t>15-01/2026</t>
  </si>
  <si>
    <t>Technology.Hyderabad@gmail.com</t>
  </si>
  <si>
    <t>20-01/2026</t>
  </si>
  <si>
    <t>Furniture.Pune@gmail.com</t>
  </si>
  <si>
    <t>Office Supplies.Kochi@gmail.com</t>
  </si>
  <si>
    <t>Technology.Delhi@gmail.com</t>
  </si>
  <si>
    <t>Furniture.Jaipur@gmail.com</t>
  </si>
  <si>
    <t>Office Supplies.Ahmedabad@gmail.com</t>
  </si>
  <si>
    <t>Furniture.Mumbai@gmail.com</t>
  </si>
  <si>
    <t>Office Supplies.Delhi@gmail.com</t>
  </si>
  <si>
    <t>Furniture.Kochi@gmail.com</t>
  </si>
  <si>
    <t>Office Supplies.Pune@gmail.com</t>
  </si>
  <si>
    <t>Technology.Jaipur@gmail.com</t>
  </si>
  <si>
    <t>Furniture.Ahmedabad@gmail.com</t>
  </si>
  <si>
    <t>Office Supplies.Bengaluru@gmail.com</t>
  </si>
  <si>
    <t>Employee ID</t>
  </si>
  <si>
    <t>Employee Name</t>
  </si>
  <si>
    <t>Department</t>
  </si>
  <si>
    <t>Salary</t>
  </si>
  <si>
    <t>Location</t>
  </si>
  <si>
    <t>E101</t>
  </si>
  <si>
    <t>Rahul</t>
  </si>
  <si>
    <t>Bangalore</t>
  </si>
  <si>
    <t>E102</t>
  </si>
  <si>
    <t>Priya</t>
  </si>
  <si>
    <t>HR</t>
  </si>
  <si>
    <t>E103</t>
  </si>
  <si>
    <t>Arjun</t>
  </si>
  <si>
    <t>Finance</t>
  </si>
  <si>
    <t>E104</t>
  </si>
  <si>
    <t>Sneha</t>
  </si>
  <si>
    <t>E105</t>
  </si>
  <si>
    <t>Kiran</t>
  </si>
  <si>
    <t>E106</t>
  </si>
  <si>
    <t>Ananya</t>
  </si>
  <si>
    <t>E107</t>
  </si>
  <si>
    <t>Rohit</t>
  </si>
  <si>
    <t>E108</t>
  </si>
  <si>
    <t>Meera</t>
  </si>
  <si>
    <t>E109</t>
  </si>
  <si>
    <t>Vikram</t>
  </si>
  <si>
    <t>E110</t>
  </si>
  <si>
    <t>Divya</t>
  </si>
  <si>
    <t>Search Employee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</si>
</sst>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Arial Rounded MT Bold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0" borderId="0" xfId="0" applyFont="1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6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B87DC-2BBF-41F9-8D9A-34FF8F513149}">
  <dimension ref="A1:R21"/>
  <sheetViews>
    <sheetView workbookViewId="0">
      <selection activeCell="U6" sqref="U6"/>
    </sheetView>
  </sheetViews>
  <sheetFormatPr defaultRowHeight="14.4" x14ac:dyDescent="0.3"/>
  <sheetData>
    <row r="1" spans="1:18" x14ac:dyDescent="0.3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1</v>
      </c>
      <c r="H1" t="s">
        <v>2</v>
      </c>
      <c r="I1" t="s">
        <v>3</v>
      </c>
      <c r="J1" t="s">
        <v>4</v>
      </c>
      <c r="K1" t="s">
        <v>94</v>
      </c>
      <c r="L1" t="s">
        <v>95</v>
      </c>
      <c r="M1" t="s">
        <v>96</v>
      </c>
      <c r="N1" t="s">
        <v>97</v>
      </c>
      <c r="O1" t="s">
        <v>98</v>
      </c>
      <c r="P1" t="s">
        <v>99</v>
      </c>
      <c r="Q1" t="s">
        <v>100</v>
      </c>
      <c r="R1" t="s">
        <v>101</v>
      </c>
    </row>
    <row r="2" spans="1:18" x14ac:dyDescent="0.3">
      <c r="A2" t="s">
        <v>11</v>
      </c>
      <c r="B2" t="s">
        <v>12</v>
      </c>
      <c r="C2" t="s">
        <v>13</v>
      </c>
      <c r="D2" t="s">
        <v>14</v>
      </c>
      <c r="E2">
        <v>46027</v>
      </c>
      <c r="F2" t="s">
        <v>15</v>
      </c>
      <c r="G2" t="s">
        <v>16</v>
      </c>
      <c r="H2" t="s">
        <v>17</v>
      </c>
      <c r="I2">
        <v>2</v>
      </c>
      <c r="J2">
        <v>2400</v>
      </c>
      <c r="K2">
        <v>10</v>
      </c>
      <c r="L2">
        <v>500</v>
      </c>
      <c r="M2" t="s">
        <v>102</v>
      </c>
      <c r="N2" t="s">
        <v>103</v>
      </c>
      <c r="O2">
        <v>10</v>
      </c>
      <c r="P2" t="s">
        <v>104</v>
      </c>
      <c r="Q2" t="s">
        <v>105</v>
      </c>
      <c r="R2" t="s">
        <v>106</v>
      </c>
    </row>
    <row r="3" spans="1:18" x14ac:dyDescent="0.3">
      <c r="A3" t="s">
        <v>18</v>
      </c>
      <c r="B3" t="s">
        <v>19</v>
      </c>
      <c r="C3" t="s">
        <v>20</v>
      </c>
      <c r="D3" t="s">
        <v>14</v>
      </c>
      <c r="E3">
        <v>46030</v>
      </c>
      <c r="F3" t="s">
        <v>21</v>
      </c>
      <c r="G3" t="s">
        <v>22</v>
      </c>
      <c r="H3" t="s">
        <v>17</v>
      </c>
      <c r="I3">
        <v>1</v>
      </c>
      <c r="J3">
        <v>5500</v>
      </c>
      <c r="K3">
        <v>46119</v>
      </c>
      <c r="L3">
        <v>46027</v>
      </c>
      <c r="M3" t="s">
        <v>102</v>
      </c>
      <c r="N3" t="s">
        <v>107</v>
      </c>
      <c r="O3">
        <v>9</v>
      </c>
      <c r="P3" t="s">
        <v>108</v>
      </c>
      <c r="Q3" t="s">
        <v>105</v>
      </c>
      <c r="R3" t="s">
        <v>109</v>
      </c>
    </row>
    <row r="4" spans="1:18" x14ac:dyDescent="0.3">
      <c r="A4" t="s">
        <v>23</v>
      </c>
      <c r="B4" t="s">
        <v>24</v>
      </c>
      <c r="C4" t="s">
        <v>25</v>
      </c>
      <c r="D4" t="s">
        <v>26</v>
      </c>
      <c r="E4">
        <v>46034</v>
      </c>
      <c r="F4" t="s">
        <v>15</v>
      </c>
      <c r="G4" t="s">
        <v>27</v>
      </c>
      <c r="H4" t="s">
        <v>17</v>
      </c>
      <c r="I4">
        <v>3</v>
      </c>
      <c r="J4">
        <v>1800</v>
      </c>
      <c r="M4" t="s">
        <v>102</v>
      </c>
      <c r="N4" t="s">
        <v>103</v>
      </c>
      <c r="O4">
        <v>10</v>
      </c>
      <c r="P4" t="s">
        <v>104</v>
      </c>
      <c r="Q4" t="s">
        <v>105</v>
      </c>
      <c r="R4" t="s">
        <v>110</v>
      </c>
    </row>
    <row r="5" spans="1:18" x14ac:dyDescent="0.3">
      <c r="A5" t="s">
        <v>28</v>
      </c>
      <c r="B5" t="s">
        <v>29</v>
      </c>
      <c r="C5" t="s">
        <v>30</v>
      </c>
      <c r="D5" t="s">
        <v>31</v>
      </c>
      <c r="E5">
        <v>46037</v>
      </c>
      <c r="F5" t="s">
        <v>32</v>
      </c>
      <c r="G5" t="s">
        <v>33</v>
      </c>
      <c r="H5" t="s">
        <v>34</v>
      </c>
      <c r="I5">
        <v>5</v>
      </c>
      <c r="J5">
        <v>750</v>
      </c>
      <c r="M5" t="s">
        <v>102</v>
      </c>
      <c r="N5" t="e">
        <v>#N/A</v>
      </c>
      <c r="O5">
        <v>15</v>
      </c>
      <c r="P5" t="s">
        <v>111</v>
      </c>
      <c r="Q5" t="s">
        <v>112</v>
      </c>
      <c r="R5" t="s">
        <v>113</v>
      </c>
    </row>
    <row r="6" spans="1:18" x14ac:dyDescent="0.3">
      <c r="A6" t="s">
        <v>35</v>
      </c>
      <c r="B6" t="s">
        <v>36</v>
      </c>
      <c r="C6" t="s">
        <v>37</v>
      </c>
      <c r="D6" t="s">
        <v>38</v>
      </c>
      <c r="E6">
        <v>46042</v>
      </c>
      <c r="F6" t="s">
        <v>15</v>
      </c>
      <c r="G6" t="s">
        <v>39</v>
      </c>
      <c r="H6" t="s">
        <v>17</v>
      </c>
      <c r="I6">
        <v>2</v>
      </c>
      <c r="J6">
        <v>2200</v>
      </c>
      <c r="M6" t="s">
        <v>102</v>
      </c>
      <c r="N6" t="s">
        <v>103</v>
      </c>
      <c r="O6">
        <v>10</v>
      </c>
      <c r="P6" t="s">
        <v>104</v>
      </c>
      <c r="Q6" t="s">
        <v>105</v>
      </c>
      <c r="R6" t="s">
        <v>114</v>
      </c>
    </row>
    <row r="7" spans="1:18" x14ac:dyDescent="0.3">
      <c r="A7" t="s">
        <v>40</v>
      </c>
      <c r="B7" t="s">
        <v>41</v>
      </c>
      <c r="C7" t="s">
        <v>42</v>
      </c>
      <c r="D7" t="s">
        <v>31</v>
      </c>
      <c r="E7">
        <v>46047</v>
      </c>
      <c r="F7" t="s">
        <v>21</v>
      </c>
      <c r="G7" t="s">
        <v>43</v>
      </c>
      <c r="H7" t="s">
        <v>34</v>
      </c>
      <c r="I7">
        <v>4</v>
      </c>
      <c r="J7">
        <v>3200</v>
      </c>
      <c r="M7" t="s">
        <v>102</v>
      </c>
      <c r="N7" t="s">
        <v>107</v>
      </c>
      <c r="O7">
        <v>9</v>
      </c>
      <c r="P7" t="s">
        <v>108</v>
      </c>
      <c r="Q7" t="s">
        <v>105</v>
      </c>
      <c r="R7" t="s">
        <v>115</v>
      </c>
    </row>
    <row r="8" spans="1:18" x14ac:dyDescent="0.3">
      <c r="A8" t="s">
        <v>44</v>
      </c>
      <c r="B8" t="s">
        <v>45</v>
      </c>
      <c r="C8" t="s">
        <v>46</v>
      </c>
      <c r="D8" t="s">
        <v>47</v>
      </c>
      <c r="E8">
        <v>46055</v>
      </c>
      <c r="F8" t="s">
        <v>32</v>
      </c>
      <c r="G8" t="s">
        <v>48</v>
      </c>
      <c r="H8" t="s">
        <v>17</v>
      </c>
      <c r="I8">
        <v>6</v>
      </c>
      <c r="J8">
        <v>900</v>
      </c>
      <c r="M8" t="s">
        <v>102</v>
      </c>
      <c r="N8" t="e">
        <v>#N/A</v>
      </c>
      <c r="O8">
        <v>15</v>
      </c>
      <c r="P8" t="s">
        <v>111</v>
      </c>
      <c r="Q8" t="s">
        <v>105</v>
      </c>
      <c r="R8" t="s">
        <v>116</v>
      </c>
    </row>
    <row r="9" spans="1:18" x14ac:dyDescent="0.3">
      <c r="A9" t="s">
        <v>49</v>
      </c>
      <c r="B9" t="s">
        <v>50</v>
      </c>
      <c r="C9" t="s">
        <v>51</v>
      </c>
      <c r="D9" t="s">
        <v>51</v>
      </c>
      <c r="E9">
        <v>46059</v>
      </c>
      <c r="F9" t="s">
        <v>15</v>
      </c>
      <c r="G9" t="s">
        <v>52</v>
      </c>
      <c r="H9" t="s">
        <v>53</v>
      </c>
      <c r="I9">
        <v>1</v>
      </c>
      <c r="J9">
        <v>12500</v>
      </c>
      <c r="M9" t="s">
        <v>117</v>
      </c>
      <c r="N9" t="s">
        <v>103</v>
      </c>
      <c r="O9">
        <v>10</v>
      </c>
      <c r="P9" t="s">
        <v>104</v>
      </c>
      <c r="Q9" t="s">
        <v>105</v>
      </c>
      <c r="R9" t="s">
        <v>118</v>
      </c>
    </row>
    <row r="10" spans="1:18" x14ac:dyDescent="0.3">
      <c r="A10" t="s">
        <v>54</v>
      </c>
      <c r="B10" t="s">
        <v>55</v>
      </c>
      <c r="C10" t="s">
        <v>56</v>
      </c>
      <c r="D10" t="s">
        <v>57</v>
      </c>
      <c r="E10">
        <v>46063</v>
      </c>
      <c r="F10" t="s">
        <v>21</v>
      </c>
      <c r="G10" t="s">
        <v>58</v>
      </c>
      <c r="H10" t="s">
        <v>53</v>
      </c>
      <c r="I10">
        <v>2</v>
      </c>
      <c r="J10">
        <v>6800</v>
      </c>
      <c r="M10" t="s">
        <v>102</v>
      </c>
      <c r="N10" t="s">
        <v>107</v>
      </c>
      <c r="O10">
        <v>9</v>
      </c>
      <c r="P10" t="s">
        <v>108</v>
      </c>
      <c r="Q10" t="s">
        <v>105</v>
      </c>
      <c r="R10" t="s">
        <v>119</v>
      </c>
    </row>
    <row r="11" spans="1:18" x14ac:dyDescent="0.3">
      <c r="A11" t="s">
        <v>59</v>
      </c>
      <c r="B11" t="s">
        <v>60</v>
      </c>
      <c r="C11" t="s">
        <v>61</v>
      </c>
      <c r="D11" t="s">
        <v>62</v>
      </c>
      <c r="E11">
        <v>46068</v>
      </c>
      <c r="F11" t="s">
        <v>32</v>
      </c>
      <c r="G11" t="s">
        <v>63</v>
      </c>
      <c r="H11" t="s">
        <v>34</v>
      </c>
      <c r="I11">
        <v>10</v>
      </c>
      <c r="J11">
        <v>500</v>
      </c>
      <c r="M11" t="s">
        <v>102</v>
      </c>
      <c r="N11" t="e">
        <v>#N/A</v>
      </c>
      <c r="O11">
        <v>15</v>
      </c>
      <c r="P11" t="s">
        <v>111</v>
      </c>
      <c r="Q11" t="s">
        <v>105</v>
      </c>
      <c r="R11" t="s">
        <v>120</v>
      </c>
    </row>
    <row r="12" spans="1:18" x14ac:dyDescent="0.3">
      <c r="A12" t="s">
        <v>64</v>
      </c>
      <c r="B12" t="s">
        <v>65</v>
      </c>
      <c r="C12" t="s">
        <v>13</v>
      </c>
      <c r="D12" t="s">
        <v>14</v>
      </c>
      <c r="E12">
        <v>46073</v>
      </c>
      <c r="F12" t="s">
        <v>15</v>
      </c>
      <c r="G12" t="s">
        <v>66</v>
      </c>
      <c r="H12" t="s">
        <v>17</v>
      </c>
      <c r="I12">
        <v>2</v>
      </c>
      <c r="J12">
        <v>3600</v>
      </c>
      <c r="M12" t="s">
        <v>102</v>
      </c>
      <c r="N12" t="s">
        <v>103</v>
      </c>
      <c r="O12">
        <v>10</v>
      </c>
      <c r="P12" t="s">
        <v>104</v>
      </c>
      <c r="Q12" t="s">
        <v>105</v>
      </c>
      <c r="R12" t="s">
        <v>121</v>
      </c>
    </row>
    <row r="13" spans="1:18" x14ac:dyDescent="0.3">
      <c r="A13" t="s">
        <v>67</v>
      </c>
      <c r="B13" t="s">
        <v>68</v>
      </c>
      <c r="C13" t="s">
        <v>30</v>
      </c>
      <c r="D13" t="s">
        <v>31</v>
      </c>
      <c r="E13">
        <v>46078</v>
      </c>
      <c r="F13" t="s">
        <v>21</v>
      </c>
      <c r="G13" t="s">
        <v>69</v>
      </c>
      <c r="H13" t="s">
        <v>34</v>
      </c>
      <c r="I13">
        <v>1</v>
      </c>
      <c r="J13">
        <v>7200</v>
      </c>
      <c r="M13" t="s">
        <v>102</v>
      </c>
      <c r="N13" t="s">
        <v>107</v>
      </c>
      <c r="O13">
        <v>9</v>
      </c>
      <c r="P13" t="s">
        <v>108</v>
      </c>
      <c r="Q13" t="s">
        <v>105</v>
      </c>
      <c r="R13" t="s">
        <v>122</v>
      </c>
    </row>
    <row r="14" spans="1:18" x14ac:dyDescent="0.3">
      <c r="A14" t="s">
        <v>70</v>
      </c>
      <c r="B14" t="s">
        <v>71</v>
      </c>
      <c r="C14" t="s">
        <v>25</v>
      </c>
      <c r="D14" t="s">
        <v>26</v>
      </c>
      <c r="E14">
        <v>46084</v>
      </c>
      <c r="F14" t="s">
        <v>15</v>
      </c>
      <c r="G14" t="s">
        <v>72</v>
      </c>
      <c r="H14" t="s">
        <v>17</v>
      </c>
      <c r="I14">
        <v>3</v>
      </c>
      <c r="J14">
        <v>4500</v>
      </c>
      <c r="M14" t="s">
        <v>102</v>
      </c>
      <c r="N14" t="s">
        <v>103</v>
      </c>
      <c r="O14">
        <v>10</v>
      </c>
      <c r="P14" t="s">
        <v>104</v>
      </c>
      <c r="Q14" t="s">
        <v>105</v>
      </c>
      <c r="R14" t="s">
        <v>123</v>
      </c>
    </row>
    <row r="15" spans="1:18" x14ac:dyDescent="0.3">
      <c r="A15" t="s">
        <v>73</v>
      </c>
      <c r="B15" t="s">
        <v>74</v>
      </c>
      <c r="C15" t="s">
        <v>51</v>
      </c>
      <c r="D15" t="s">
        <v>51</v>
      </c>
      <c r="E15">
        <v>46089</v>
      </c>
      <c r="F15" t="s">
        <v>32</v>
      </c>
      <c r="G15" t="s">
        <v>75</v>
      </c>
      <c r="H15" t="s">
        <v>53</v>
      </c>
      <c r="I15">
        <v>4</v>
      </c>
      <c r="J15">
        <v>800</v>
      </c>
      <c r="M15" t="s">
        <v>102</v>
      </c>
      <c r="N15" t="e">
        <v>#N/A</v>
      </c>
      <c r="O15">
        <v>15</v>
      </c>
      <c r="P15" t="s">
        <v>111</v>
      </c>
      <c r="Q15" t="s">
        <v>105</v>
      </c>
      <c r="R15" t="s">
        <v>124</v>
      </c>
    </row>
    <row r="16" spans="1:18" x14ac:dyDescent="0.3">
      <c r="A16" t="s">
        <v>76</v>
      </c>
      <c r="B16" t="s">
        <v>77</v>
      </c>
      <c r="C16" t="s">
        <v>46</v>
      </c>
      <c r="D16" t="s">
        <v>47</v>
      </c>
      <c r="E16">
        <v>46093</v>
      </c>
      <c r="F16" t="s">
        <v>21</v>
      </c>
      <c r="G16" t="s">
        <v>78</v>
      </c>
      <c r="H16" t="s">
        <v>17</v>
      </c>
      <c r="I16">
        <v>1</v>
      </c>
      <c r="J16">
        <v>8500</v>
      </c>
      <c r="M16" t="s">
        <v>102</v>
      </c>
      <c r="N16" t="s">
        <v>107</v>
      </c>
      <c r="O16">
        <v>9</v>
      </c>
      <c r="P16" t="s">
        <v>108</v>
      </c>
      <c r="Q16" t="s">
        <v>105</v>
      </c>
      <c r="R16" t="s">
        <v>125</v>
      </c>
    </row>
    <row r="17" spans="1:18" x14ac:dyDescent="0.3">
      <c r="A17" t="s">
        <v>79</v>
      </c>
      <c r="B17" t="s">
        <v>80</v>
      </c>
      <c r="C17" t="s">
        <v>37</v>
      </c>
      <c r="D17" t="s">
        <v>38</v>
      </c>
      <c r="E17">
        <v>46099</v>
      </c>
      <c r="F17" t="s">
        <v>15</v>
      </c>
      <c r="G17" t="s">
        <v>81</v>
      </c>
      <c r="H17" t="s">
        <v>17</v>
      </c>
      <c r="I17">
        <v>5</v>
      </c>
      <c r="J17">
        <v>2750</v>
      </c>
      <c r="M17" t="s">
        <v>102</v>
      </c>
      <c r="N17" t="s">
        <v>103</v>
      </c>
      <c r="O17">
        <v>10</v>
      </c>
      <c r="P17" t="s">
        <v>104</v>
      </c>
      <c r="Q17" t="s">
        <v>112</v>
      </c>
      <c r="R17" t="s">
        <v>126</v>
      </c>
    </row>
    <row r="18" spans="1:18" x14ac:dyDescent="0.3">
      <c r="A18" t="s">
        <v>82</v>
      </c>
      <c r="B18" t="s">
        <v>83</v>
      </c>
      <c r="C18" t="s">
        <v>42</v>
      </c>
      <c r="D18" t="s">
        <v>31</v>
      </c>
      <c r="E18">
        <v>46103</v>
      </c>
      <c r="F18" t="s">
        <v>32</v>
      </c>
      <c r="G18" t="s">
        <v>84</v>
      </c>
      <c r="H18" t="s">
        <v>34</v>
      </c>
      <c r="I18">
        <v>3</v>
      </c>
      <c r="J18">
        <v>2100</v>
      </c>
      <c r="M18" t="s">
        <v>102</v>
      </c>
      <c r="N18" t="e">
        <v>#N/A</v>
      </c>
      <c r="O18">
        <v>15</v>
      </c>
      <c r="P18" t="s">
        <v>111</v>
      </c>
      <c r="Q18" t="s">
        <v>105</v>
      </c>
      <c r="R18" t="s">
        <v>127</v>
      </c>
    </row>
    <row r="19" spans="1:18" x14ac:dyDescent="0.3">
      <c r="A19" t="s">
        <v>85</v>
      </c>
      <c r="B19" t="s">
        <v>86</v>
      </c>
      <c r="C19" t="s">
        <v>56</v>
      </c>
      <c r="D19" t="s">
        <v>57</v>
      </c>
      <c r="E19">
        <v>46108</v>
      </c>
      <c r="F19" t="s">
        <v>15</v>
      </c>
      <c r="G19" t="s">
        <v>87</v>
      </c>
      <c r="H19" t="s">
        <v>53</v>
      </c>
      <c r="I19">
        <v>1</v>
      </c>
      <c r="J19">
        <v>9800</v>
      </c>
      <c r="M19" t="s">
        <v>102</v>
      </c>
      <c r="N19" t="s">
        <v>103</v>
      </c>
      <c r="O19">
        <v>10</v>
      </c>
      <c r="P19" t="s">
        <v>104</v>
      </c>
      <c r="Q19" t="s">
        <v>105</v>
      </c>
      <c r="R19" t="s">
        <v>128</v>
      </c>
    </row>
    <row r="20" spans="1:18" x14ac:dyDescent="0.3">
      <c r="A20" t="s">
        <v>88</v>
      </c>
      <c r="B20" t="s">
        <v>89</v>
      </c>
      <c r="C20" t="s">
        <v>61</v>
      </c>
      <c r="D20" t="s">
        <v>62</v>
      </c>
      <c r="E20">
        <v>46114</v>
      </c>
      <c r="F20" t="s">
        <v>21</v>
      </c>
      <c r="G20" t="s">
        <v>90</v>
      </c>
      <c r="H20" t="s">
        <v>34</v>
      </c>
      <c r="I20">
        <v>2</v>
      </c>
      <c r="J20">
        <v>6100</v>
      </c>
      <c r="M20" t="s">
        <v>102</v>
      </c>
      <c r="N20" t="s">
        <v>107</v>
      </c>
      <c r="O20">
        <v>9</v>
      </c>
      <c r="P20" t="s">
        <v>108</v>
      </c>
      <c r="Q20" t="s">
        <v>105</v>
      </c>
      <c r="R20" t="s">
        <v>129</v>
      </c>
    </row>
    <row r="21" spans="1:18" x14ac:dyDescent="0.3">
      <c r="A21" t="s">
        <v>91</v>
      </c>
      <c r="B21" t="s">
        <v>92</v>
      </c>
      <c r="C21" t="s">
        <v>13</v>
      </c>
      <c r="D21" t="s">
        <v>14</v>
      </c>
      <c r="E21">
        <v>46119</v>
      </c>
      <c r="F21" t="s">
        <v>32</v>
      </c>
      <c r="G21" t="s">
        <v>93</v>
      </c>
      <c r="H21" t="s">
        <v>17</v>
      </c>
      <c r="I21">
        <v>2</v>
      </c>
      <c r="J21">
        <v>3000</v>
      </c>
      <c r="M21" t="s">
        <v>102</v>
      </c>
      <c r="N21" t="e">
        <v>#N/A</v>
      </c>
      <c r="O21">
        <v>15</v>
      </c>
      <c r="P21" t="s">
        <v>111</v>
      </c>
      <c r="Q21" t="s">
        <v>105</v>
      </c>
      <c r="R21" t="s">
        <v>130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E02A4-6A0A-4494-9DFB-CE005EEF2601}">
  <dimension ref="A1:O21"/>
  <sheetViews>
    <sheetView workbookViewId="0">
      <selection activeCell="L9" sqref="L9"/>
    </sheetView>
  </sheetViews>
  <sheetFormatPr defaultRowHeight="14.4" x14ac:dyDescent="0.3"/>
  <sheetData>
    <row r="1" spans="1:15" x14ac:dyDescent="0.3">
      <c r="A1" t="s">
        <v>0</v>
      </c>
      <c r="B1" t="s">
        <v>131</v>
      </c>
      <c r="C1" t="s">
        <v>132</v>
      </c>
      <c r="D1" t="s">
        <v>133</v>
      </c>
      <c r="E1" t="s">
        <v>134</v>
      </c>
      <c r="F1" t="s">
        <v>135</v>
      </c>
      <c r="G1" t="s">
        <v>1</v>
      </c>
      <c r="H1" t="s">
        <v>2</v>
      </c>
      <c r="I1" t="s">
        <v>3</v>
      </c>
      <c r="J1" t="s">
        <v>4</v>
      </c>
      <c r="K1" t="s">
        <v>136</v>
      </c>
      <c r="L1" t="s">
        <v>137</v>
      </c>
      <c r="M1" t="s">
        <v>138</v>
      </c>
      <c r="N1" t="s">
        <v>139</v>
      </c>
      <c r="O1" t="s">
        <v>140</v>
      </c>
    </row>
    <row r="2" spans="1:15" x14ac:dyDescent="0.3">
      <c r="A2" t="s">
        <v>11</v>
      </c>
      <c r="B2" t="s">
        <v>12</v>
      </c>
      <c r="C2" t="s">
        <v>13</v>
      </c>
      <c r="D2" t="s">
        <v>14</v>
      </c>
      <c r="E2">
        <v>46027</v>
      </c>
      <c r="F2" t="s">
        <v>15</v>
      </c>
      <c r="G2" t="s">
        <v>16</v>
      </c>
      <c r="H2" t="s">
        <v>17</v>
      </c>
      <c r="I2">
        <v>2</v>
      </c>
      <c r="J2">
        <v>2400</v>
      </c>
      <c r="K2" t="s">
        <v>16</v>
      </c>
      <c r="L2" t="s">
        <v>141</v>
      </c>
      <c r="M2" t="s">
        <v>106</v>
      </c>
      <c r="N2" t="s">
        <v>142</v>
      </c>
      <c r="O2" t="s">
        <v>143</v>
      </c>
    </row>
    <row r="3" spans="1:15" x14ac:dyDescent="0.3">
      <c r="A3" t="s">
        <v>18</v>
      </c>
      <c r="B3" t="s">
        <v>19</v>
      </c>
      <c r="C3" t="s">
        <v>20</v>
      </c>
      <c r="D3" t="s">
        <v>14</v>
      </c>
      <c r="E3">
        <v>46030</v>
      </c>
      <c r="F3" t="s">
        <v>21</v>
      </c>
      <c r="G3" t="s">
        <v>22</v>
      </c>
      <c r="H3" t="s">
        <v>17</v>
      </c>
      <c r="I3">
        <v>1</v>
      </c>
      <c r="J3">
        <v>5500</v>
      </c>
      <c r="K3" t="s">
        <v>22</v>
      </c>
      <c r="L3" t="s">
        <v>144</v>
      </c>
      <c r="M3" t="s">
        <v>109</v>
      </c>
      <c r="N3" t="s">
        <v>145</v>
      </c>
      <c r="O3" t="s">
        <v>146</v>
      </c>
    </row>
    <row r="4" spans="1:15" x14ac:dyDescent="0.3">
      <c r="A4" t="s">
        <v>23</v>
      </c>
      <c r="B4" t="s">
        <v>24</v>
      </c>
      <c r="C4" t="s">
        <v>25</v>
      </c>
      <c r="D4" t="s">
        <v>26</v>
      </c>
      <c r="E4">
        <v>46034</v>
      </c>
      <c r="F4" t="s">
        <v>15</v>
      </c>
      <c r="G4" t="s">
        <v>27</v>
      </c>
      <c r="H4" t="s">
        <v>17</v>
      </c>
      <c r="I4">
        <v>3</v>
      </c>
      <c r="J4">
        <v>1800</v>
      </c>
      <c r="K4" t="s">
        <v>27</v>
      </c>
      <c r="L4" t="s">
        <v>147</v>
      </c>
      <c r="M4" t="s">
        <v>110</v>
      </c>
      <c r="N4" t="s">
        <v>148</v>
      </c>
      <c r="O4" t="s">
        <v>149</v>
      </c>
    </row>
    <row r="5" spans="1:15" x14ac:dyDescent="0.3">
      <c r="A5" t="s">
        <v>28</v>
      </c>
      <c r="B5" t="s">
        <v>29</v>
      </c>
      <c r="C5" t="s">
        <v>30</v>
      </c>
      <c r="D5" t="s">
        <v>31</v>
      </c>
      <c r="E5">
        <v>46037</v>
      </c>
      <c r="F5" t="s">
        <v>32</v>
      </c>
      <c r="G5" t="s">
        <v>33</v>
      </c>
      <c r="H5" t="s">
        <v>34</v>
      </c>
      <c r="I5">
        <v>5</v>
      </c>
      <c r="J5">
        <v>750</v>
      </c>
      <c r="K5" t="s">
        <v>33</v>
      </c>
      <c r="L5" t="s">
        <v>150</v>
      </c>
      <c r="M5" t="s">
        <v>113</v>
      </c>
      <c r="O5" t="s">
        <v>151</v>
      </c>
    </row>
    <row r="6" spans="1:15" x14ac:dyDescent="0.3">
      <c r="A6" t="s">
        <v>35</v>
      </c>
      <c r="B6" t="s">
        <v>36</v>
      </c>
      <c r="C6" t="s">
        <v>37</v>
      </c>
      <c r="D6" t="s">
        <v>38</v>
      </c>
      <c r="E6">
        <v>46042</v>
      </c>
      <c r="F6" t="s">
        <v>15</v>
      </c>
      <c r="G6" t="s">
        <v>39</v>
      </c>
      <c r="H6" t="s">
        <v>17</v>
      </c>
      <c r="I6">
        <v>2</v>
      </c>
      <c r="J6">
        <v>2200</v>
      </c>
      <c r="K6" t="s">
        <v>39</v>
      </c>
      <c r="L6" t="s">
        <v>152</v>
      </c>
      <c r="M6" t="s">
        <v>114</v>
      </c>
      <c r="O6" t="s">
        <v>153</v>
      </c>
    </row>
    <row r="7" spans="1:15" x14ac:dyDescent="0.3">
      <c r="A7" t="s">
        <v>40</v>
      </c>
      <c r="B7" t="s">
        <v>41</v>
      </c>
      <c r="C7" t="s">
        <v>42</v>
      </c>
      <c r="D7" t="s">
        <v>31</v>
      </c>
      <c r="E7">
        <v>46047</v>
      </c>
      <c r="F7" t="s">
        <v>21</v>
      </c>
      <c r="G7" t="s">
        <v>43</v>
      </c>
      <c r="H7" t="s">
        <v>34</v>
      </c>
      <c r="I7">
        <v>4</v>
      </c>
      <c r="J7">
        <v>3200</v>
      </c>
      <c r="K7" t="s">
        <v>43</v>
      </c>
      <c r="L7" t="s">
        <v>154</v>
      </c>
      <c r="M7" t="s">
        <v>115</v>
      </c>
    </row>
    <row r="8" spans="1:15" x14ac:dyDescent="0.3">
      <c r="A8" t="s">
        <v>44</v>
      </c>
      <c r="B8" t="s">
        <v>45</v>
      </c>
      <c r="C8" t="s">
        <v>46</v>
      </c>
      <c r="D8" t="s">
        <v>47</v>
      </c>
      <c r="E8">
        <v>46055</v>
      </c>
      <c r="F8" t="s">
        <v>32</v>
      </c>
      <c r="G8" t="s">
        <v>48</v>
      </c>
      <c r="H8" t="s">
        <v>17</v>
      </c>
      <c r="I8">
        <v>6</v>
      </c>
      <c r="J8">
        <v>900</v>
      </c>
      <c r="K8" t="s">
        <v>48</v>
      </c>
      <c r="L8" t="s">
        <v>155</v>
      </c>
      <c r="M8" t="s">
        <v>116</v>
      </c>
    </row>
    <row r="9" spans="1:15" x14ac:dyDescent="0.3">
      <c r="A9" t="s">
        <v>49</v>
      </c>
      <c r="B9" t="s">
        <v>50</v>
      </c>
      <c r="C9" t="s">
        <v>51</v>
      </c>
      <c r="D9" t="s">
        <v>51</v>
      </c>
      <c r="E9">
        <v>46059</v>
      </c>
      <c r="F9" t="s">
        <v>15</v>
      </c>
      <c r="G9" t="s">
        <v>52</v>
      </c>
      <c r="H9" t="s">
        <v>53</v>
      </c>
      <c r="I9">
        <v>1</v>
      </c>
      <c r="J9">
        <v>12500</v>
      </c>
      <c r="K9" t="s">
        <v>52</v>
      </c>
      <c r="L9" t="s">
        <v>156</v>
      </c>
      <c r="M9" t="s">
        <v>118</v>
      </c>
    </row>
    <row r="10" spans="1:15" x14ac:dyDescent="0.3">
      <c r="A10" t="s">
        <v>54</v>
      </c>
      <c r="B10" t="s">
        <v>55</v>
      </c>
      <c r="C10" t="s">
        <v>56</v>
      </c>
      <c r="D10" t="s">
        <v>57</v>
      </c>
      <c r="E10">
        <v>46063</v>
      </c>
      <c r="F10" t="s">
        <v>21</v>
      </c>
      <c r="G10" t="s">
        <v>58</v>
      </c>
      <c r="H10" t="s">
        <v>53</v>
      </c>
      <c r="I10">
        <v>2</v>
      </c>
      <c r="J10">
        <v>6800</v>
      </c>
      <c r="K10" t="s">
        <v>58</v>
      </c>
      <c r="L10" t="s">
        <v>157</v>
      </c>
      <c r="M10" t="s">
        <v>119</v>
      </c>
    </row>
    <row r="11" spans="1:15" x14ac:dyDescent="0.3">
      <c r="A11" t="s">
        <v>59</v>
      </c>
      <c r="B11" t="s">
        <v>60</v>
      </c>
      <c r="C11" t="s">
        <v>61</v>
      </c>
      <c r="D11" t="s">
        <v>62</v>
      </c>
      <c r="E11">
        <v>46068</v>
      </c>
      <c r="F11" t="s">
        <v>32</v>
      </c>
      <c r="G11" t="s">
        <v>63</v>
      </c>
      <c r="H11" t="s">
        <v>34</v>
      </c>
      <c r="I11">
        <v>10</v>
      </c>
      <c r="J11">
        <v>500</v>
      </c>
      <c r="K11" t="s">
        <v>63</v>
      </c>
      <c r="L11" t="s">
        <v>158</v>
      </c>
      <c r="M11" t="s">
        <v>120</v>
      </c>
    </row>
    <row r="12" spans="1:15" x14ac:dyDescent="0.3">
      <c r="A12" t="s">
        <v>64</v>
      </c>
      <c r="B12" t="s">
        <v>65</v>
      </c>
      <c r="C12" t="s">
        <v>13</v>
      </c>
      <c r="D12" t="s">
        <v>14</v>
      </c>
      <c r="E12">
        <v>46073</v>
      </c>
      <c r="F12" t="s">
        <v>15</v>
      </c>
      <c r="G12" t="s">
        <v>66</v>
      </c>
      <c r="H12" t="s">
        <v>17</v>
      </c>
      <c r="I12">
        <v>2</v>
      </c>
      <c r="J12">
        <v>3600</v>
      </c>
      <c r="K12" t="s">
        <v>66</v>
      </c>
      <c r="L12" t="s">
        <v>141</v>
      </c>
      <c r="M12" t="s">
        <v>121</v>
      </c>
    </row>
    <row r="13" spans="1:15" x14ac:dyDescent="0.3">
      <c r="A13" t="s">
        <v>67</v>
      </c>
      <c r="B13" t="s">
        <v>68</v>
      </c>
      <c r="C13" t="s">
        <v>30</v>
      </c>
      <c r="D13" t="s">
        <v>31</v>
      </c>
      <c r="E13">
        <v>46078</v>
      </c>
      <c r="F13" t="s">
        <v>21</v>
      </c>
      <c r="G13" t="s">
        <v>69</v>
      </c>
      <c r="H13" t="s">
        <v>34</v>
      </c>
      <c r="I13">
        <v>1</v>
      </c>
      <c r="J13">
        <v>7200</v>
      </c>
      <c r="K13" t="s">
        <v>69</v>
      </c>
      <c r="L13" t="s">
        <v>159</v>
      </c>
      <c r="M13" t="s">
        <v>122</v>
      </c>
    </row>
    <row r="14" spans="1:15" x14ac:dyDescent="0.3">
      <c r="A14" t="s">
        <v>70</v>
      </c>
      <c r="B14" t="s">
        <v>71</v>
      </c>
      <c r="C14" t="s">
        <v>25</v>
      </c>
      <c r="D14" t="s">
        <v>26</v>
      </c>
      <c r="E14">
        <v>46084</v>
      </c>
      <c r="F14" t="s">
        <v>15</v>
      </c>
      <c r="G14" t="s">
        <v>72</v>
      </c>
      <c r="H14" t="s">
        <v>17</v>
      </c>
      <c r="I14">
        <v>3</v>
      </c>
      <c r="J14">
        <v>4500</v>
      </c>
      <c r="K14" t="s">
        <v>72</v>
      </c>
      <c r="L14" t="s">
        <v>147</v>
      </c>
      <c r="M14" t="s">
        <v>123</v>
      </c>
    </row>
    <row r="15" spans="1:15" x14ac:dyDescent="0.3">
      <c r="A15" t="s">
        <v>73</v>
      </c>
      <c r="B15" t="s">
        <v>74</v>
      </c>
      <c r="C15" t="s">
        <v>51</v>
      </c>
      <c r="D15" t="s">
        <v>51</v>
      </c>
      <c r="E15">
        <v>46089</v>
      </c>
      <c r="F15" t="s">
        <v>32</v>
      </c>
      <c r="G15" t="s">
        <v>75</v>
      </c>
      <c r="H15" t="s">
        <v>53</v>
      </c>
      <c r="I15">
        <v>4</v>
      </c>
      <c r="J15">
        <v>800</v>
      </c>
      <c r="K15" t="s">
        <v>75</v>
      </c>
      <c r="L15" t="s">
        <v>160</v>
      </c>
      <c r="M15" t="s">
        <v>124</v>
      </c>
    </row>
    <row r="16" spans="1:15" x14ac:dyDescent="0.3">
      <c r="A16" t="s">
        <v>76</v>
      </c>
      <c r="B16" t="s">
        <v>77</v>
      </c>
      <c r="C16" t="s">
        <v>46</v>
      </c>
      <c r="D16" t="s">
        <v>47</v>
      </c>
      <c r="E16">
        <v>46093</v>
      </c>
      <c r="F16" t="s">
        <v>21</v>
      </c>
      <c r="G16" t="s">
        <v>78</v>
      </c>
      <c r="H16" t="s">
        <v>17</v>
      </c>
      <c r="I16">
        <v>1</v>
      </c>
      <c r="J16">
        <v>8500</v>
      </c>
      <c r="K16" t="s">
        <v>78</v>
      </c>
      <c r="L16" t="s">
        <v>161</v>
      </c>
      <c r="M16" t="s">
        <v>125</v>
      </c>
    </row>
    <row r="17" spans="1:13" x14ac:dyDescent="0.3">
      <c r="A17" t="s">
        <v>79</v>
      </c>
      <c r="B17" t="s">
        <v>80</v>
      </c>
      <c r="C17" t="s">
        <v>37</v>
      </c>
      <c r="D17" t="s">
        <v>38</v>
      </c>
      <c r="E17">
        <v>46099</v>
      </c>
      <c r="F17" t="s">
        <v>15</v>
      </c>
      <c r="G17" t="s">
        <v>81</v>
      </c>
      <c r="H17" t="s">
        <v>17</v>
      </c>
      <c r="I17">
        <v>5</v>
      </c>
      <c r="J17">
        <v>2750</v>
      </c>
      <c r="K17" t="s">
        <v>81</v>
      </c>
      <c r="L17" t="s">
        <v>152</v>
      </c>
      <c r="M17" t="s">
        <v>126</v>
      </c>
    </row>
    <row r="18" spans="1:13" x14ac:dyDescent="0.3">
      <c r="A18" t="s">
        <v>82</v>
      </c>
      <c r="B18" t="s">
        <v>83</v>
      </c>
      <c r="C18" t="s">
        <v>42</v>
      </c>
      <c r="D18" t="s">
        <v>31</v>
      </c>
      <c r="E18">
        <v>46103</v>
      </c>
      <c r="F18" t="s">
        <v>32</v>
      </c>
      <c r="G18" t="s">
        <v>84</v>
      </c>
      <c r="H18" t="s">
        <v>34</v>
      </c>
      <c r="I18">
        <v>3</v>
      </c>
      <c r="J18">
        <v>2100</v>
      </c>
      <c r="K18" t="s">
        <v>84</v>
      </c>
      <c r="L18" t="s">
        <v>162</v>
      </c>
      <c r="M18" t="s">
        <v>127</v>
      </c>
    </row>
    <row r="19" spans="1:13" x14ac:dyDescent="0.3">
      <c r="A19" t="s">
        <v>85</v>
      </c>
      <c r="B19" t="s">
        <v>86</v>
      </c>
      <c r="C19" t="s">
        <v>56</v>
      </c>
      <c r="D19" t="s">
        <v>57</v>
      </c>
      <c r="E19">
        <v>46108</v>
      </c>
      <c r="F19" t="s">
        <v>15</v>
      </c>
      <c r="G19" t="s">
        <v>87</v>
      </c>
      <c r="H19" t="s">
        <v>53</v>
      </c>
      <c r="I19">
        <v>1</v>
      </c>
      <c r="J19">
        <v>9800</v>
      </c>
      <c r="K19" t="s">
        <v>87</v>
      </c>
      <c r="L19" t="s">
        <v>163</v>
      </c>
      <c r="M19" t="s">
        <v>128</v>
      </c>
    </row>
    <row r="20" spans="1:13" x14ac:dyDescent="0.3">
      <c r="A20" t="s">
        <v>88</v>
      </c>
      <c r="B20" t="s">
        <v>89</v>
      </c>
      <c r="C20" t="s">
        <v>61</v>
      </c>
      <c r="D20" t="s">
        <v>62</v>
      </c>
      <c r="E20">
        <v>46114</v>
      </c>
      <c r="F20" t="s">
        <v>21</v>
      </c>
      <c r="G20" t="s">
        <v>90</v>
      </c>
      <c r="H20" t="s">
        <v>34</v>
      </c>
      <c r="I20">
        <v>2</v>
      </c>
      <c r="J20">
        <v>6100</v>
      </c>
      <c r="K20" t="s">
        <v>90</v>
      </c>
      <c r="L20" t="s">
        <v>164</v>
      </c>
      <c r="M20" t="s">
        <v>129</v>
      </c>
    </row>
    <row r="21" spans="1:13" x14ac:dyDescent="0.3">
      <c r="A21" t="s">
        <v>91</v>
      </c>
      <c r="B21" t="s">
        <v>92</v>
      </c>
      <c r="C21" t="s">
        <v>13</v>
      </c>
      <c r="D21" t="s">
        <v>14</v>
      </c>
      <c r="E21">
        <v>46119</v>
      </c>
      <c r="F21" t="s">
        <v>32</v>
      </c>
      <c r="G21" t="s">
        <v>93</v>
      </c>
      <c r="H21" t="s">
        <v>17</v>
      </c>
      <c r="I21">
        <v>2</v>
      </c>
      <c r="J21">
        <v>3000</v>
      </c>
      <c r="K21" t="s">
        <v>93</v>
      </c>
      <c r="L21" t="s">
        <v>165</v>
      </c>
      <c r="M21" t="s">
        <v>130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7B41A-3F58-4129-9598-F64987B32FF6}">
  <dimension ref="A1:P21"/>
  <sheetViews>
    <sheetView workbookViewId="0">
      <selection activeCell="D15" sqref="D15"/>
    </sheetView>
  </sheetViews>
  <sheetFormatPr defaultRowHeight="14.4" x14ac:dyDescent="0.3"/>
  <sheetData>
    <row r="1" spans="1:16" ht="17.399999999999999" x14ac:dyDescent="0.3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1</v>
      </c>
      <c r="H1" t="s">
        <v>2</v>
      </c>
      <c r="I1" t="s">
        <v>3</v>
      </c>
      <c r="J1" t="s">
        <v>4</v>
      </c>
      <c r="K1" s="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</row>
    <row r="2" spans="1:16" x14ac:dyDescent="0.3">
      <c r="A2" t="s">
        <v>11</v>
      </c>
      <c r="B2" t="s">
        <v>12</v>
      </c>
      <c r="C2" t="s">
        <v>13</v>
      </c>
      <c r="D2" t="s">
        <v>14</v>
      </c>
      <c r="E2">
        <v>46027</v>
      </c>
      <c r="F2" t="s">
        <v>15</v>
      </c>
      <c r="G2" t="s">
        <v>16</v>
      </c>
      <c r="H2" t="s">
        <v>17</v>
      </c>
      <c r="I2">
        <v>2</v>
      </c>
      <c r="J2">
        <v>2400</v>
      </c>
      <c r="K2">
        <f>SUM(J2:J21)</f>
        <v>84900</v>
      </c>
      <c r="L2">
        <f>SUMIF(J2:J21,"&gt;9000")</f>
        <v>22300</v>
      </c>
      <c r="M2">
        <f>SUMIFS(J2:J21,C2:C21,"Delhi",I2:I21,"&gt;=2")</f>
        <v>800</v>
      </c>
      <c r="N2">
        <f>COUNT(J2:J21)</f>
        <v>20</v>
      </c>
      <c r="O2">
        <f>COUNTIF(J2:J21,"&gt;9000")</f>
        <v>2</v>
      </c>
      <c r="P2">
        <f>SUMIFS(J2:J21,C2:C21,"Delhi",I2:I21,"&gt;=2")</f>
        <v>800</v>
      </c>
    </row>
    <row r="3" spans="1:16" x14ac:dyDescent="0.3">
      <c r="A3" t="s">
        <v>18</v>
      </c>
      <c r="B3" t="s">
        <v>19</v>
      </c>
      <c r="C3" t="s">
        <v>20</v>
      </c>
      <c r="D3" t="s">
        <v>14</v>
      </c>
      <c r="E3">
        <v>46030</v>
      </c>
      <c r="F3" t="s">
        <v>21</v>
      </c>
      <c r="G3" t="s">
        <v>22</v>
      </c>
      <c r="H3" t="s">
        <v>17</v>
      </c>
      <c r="I3">
        <v>1</v>
      </c>
      <c r="J3">
        <v>5500</v>
      </c>
    </row>
    <row r="4" spans="1:16" x14ac:dyDescent="0.3">
      <c r="A4" t="s">
        <v>23</v>
      </c>
      <c r="B4" t="s">
        <v>24</v>
      </c>
      <c r="C4" t="s">
        <v>25</v>
      </c>
      <c r="D4" t="s">
        <v>26</v>
      </c>
      <c r="E4">
        <v>46034</v>
      </c>
      <c r="F4" t="s">
        <v>15</v>
      </c>
      <c r="G4" t="s">
        <v>27</v>
      </c>
      <c r="H4" t="s">
        <v>17</v>
      </c>
      <c r="I4">
        <v>3</v>
      </c>
      <c r="J4">
        <v>1800</v>
      </c>
    </row>
    <row r="5" spans="1:16" x14ac:dyDescent="0.3">
      <c r="A5" t="s">
        <v>28</v>
      </c>
      <c r="B5" t="s">
        <v>29</v>
      </c>
      <c r="C5" t="s">
        <v>30</v>
      </c>
      <c r="D5" t="s">
        <v>31</v>
      </c>
      <c r="E5">
        <v>46037</v>
      </c>
      <c r="F5" t="s">
        <v>32</v>
      </c>
      <c r="G5" t="s">
        <v>33</v>
      </c>
      <c r="H5" t="s">
        <v>34</v>
      </c>
      <c r="I5">
        <v>5</v>
      </c>
      <c r="J5">
        <v>750</v>
      </c>
    </row>
    <row r="6" spans="1:16" x14ac:dyDescent="0.3">
      <c r="A6" t="s">
        <v>35</v>
      </c>
      <c r="B6" t="s">
        <v>36</v>
      </c>
      <c r="C6" t="s">
        <v>37</v>
      </c>
      <c r="D6" t="s">
        <v>38</v>
      </c>
      <c r="E6">
        <v>46042</v>
      </c>
      <c r="F6" t="s">
        <v>15</v>
      </c>
      <c r="G6" t="s">
        <v>39</v>
      </c>
      <c r="H6" t="s">
        <v>17</v>
      </c>
      <c r="I6">
        <v>2</v>
      </c>
      <c r="J6">
        <v>2200</v>
      </c>
    </row>
    <row r="7" spans="1:16" x14ac:dyDescent="0.3">
      <c r="A7" t="s">
        <v>40</v>
      </c>
      <c r="B7" t="s">
        <v>41</v>
      </c>
      <c r="C7" t="s">
        <v>42</v>
      </c>
      <c r="D7" t="s">
        <v>31</v>
      </c>
      <c r="E7">
        <v>46047</v>
      </c>
      <c r="F7" t="s">
        <v>21</v>
      </c>
      <c r="G7" t="s">
        <v>43</v>
      </c>
      <c r="H7" t="s">
        <v>34</v>
      </c>
      <c r="I7">
        <v>4</v>
      </c>
      <c r="J7">
        <v>3200</v>
      </c>
    </row>
    <row r="8" spans="1:16" x14ac:dyDescent="0.3">
      <c r="A8" t="s">
        <v>44</v>
      </c>
      <c r="B8" t="s">
        <v>45</v>
      </c>
      <c r="C8" t="s">
        <v>46</v>
      </c>
      <c r="D8" t="s">
        <v>47</v>
      </c>
      <c r="E8">
        <v>46055</v>
      </c>
      <c r="F8" t="s">
        <v>32</v>
      </c>
      <c r="G8" t="s">
        <v>48</v>
      </c>
      <c r="H8" t="s">
        <v>17</v>
      </c>
      <c r="I8">
        <v>6</v>
      </c>
      <c r="J8">
        <v>900</v>
      </c>
    </row>
    <row r="9" spans="1:16" x14ac:dyDescent="0.3">
      <c r="A9" t="s">
        <v>49</v>
      </c>
      <c r="B9" t="s">
        <v>50</v>
      </c>
      <c r="C9" t="s">
        <v>51</v>
      </c>
      <c r="D9" t="s">
        <v>51</v>
      </c>
      <c r="E9">
        <v>46059</v>
      </c>
      <c r="F9" t="s">
        <v>15</v>
      </c>
      <c r="G9" t="s">
        <v>52</v>
      </c>
      <c r="H9" t="s">
        <v>53</v>
      </c>
      <c r="I9">
        <v>1</v>
      </c>
      <c r="J9">
        <v>12500</v>
      </c>
    </row>
    <row r="10" spans="1:16" x14ac:dyDescent="0.3">
      <c r="A10" t="s">
        <v>54</v>
      </c>
      <c r="B10" t="s">
        <v>55</v>
      </c>
      <c r="C10" t="s">
        <v>56</v>
      </c>
      <c r="D10" t="s">
        <v>57</v>
      </c>
      <c r="E10">
        <v>46063</v>
      </c>
      <c r="F10" t="s">
        <v>21</v>
      </c>
      <c r="G10" t="s">
        <v>58</v>
      </c>
      <c r="H10" t="s">
        <v>53</v>
      </c>
      <c r="I10">
        <v>2</v>
      </c>
      <c r="J10">
        <v>6800</v>
      </c>
    </row>
    <row r="11" spans="1:16" x14ac:dyDescent="0.3">
      <c r="A11" t="s">
        <v>59</v>
      </c>
      <c r="B11" t="s">
        <v>60</v>
      </c>
      <c r="C11" t="s">
        <v>61</v>
      </c>
      <c r="D11" t="s">
        <v>62</v>
      </c>
      <c r="E11">
        <v>46068</v>
      </c>
      <c r="F11" t="s">
        <v>32</v>
      </c>
      <c r="G11" t="s">
        <v>63</v>
      </c>
      <c r="H11" t="s">
        <v>34</v>
      </c>
      <c r="I11">
        <v>10</v>
      </c>
      <c r="J11">
        <v>500</v>
      </c>
    </row>
    <row r="12" spans="1:16" x14ac:dyDescent="0.3">
      <c r="A12" t="s">
        <v>64</v>
      </c>
      <c r="B12" t="s">
        <v>65</v>
      </c>
      <c r="C12" t="s">
        <v>13</v>
      </c>
      <c r="D12" t="s">
        <v>14</v>
      </c>
      <c r="E12">
        <v>46073</v>
      </c>
      <c r="F12" t="s">
        <v>15</v>
      </c>
      <c r="G12" t="s">
        <v>66</v>
      </c>
      <c r="H12" t="s">
        <v>17</v>
      </c>
      <c r="I12">
        <v>2</v>
      </c>
      <c r="J12">
        <v>3600</v>
      </c>
    </row>
    <row r="13" spans="1:16" x14ac:dyDescent="0.3">
      <c r="A13" t="s">
        <v>67</v>
      </c>
      <c r="B13" t="s">
        <v>68</v>
      </c>
      <c r="C13" t="s">
        <v>30</v>
      </c>
      <c r="D13" t="s">
        <v>31</v>
      </c>
      <c r="E13">
        <v>46078</v>
      </c>
      <c r="F13" t="s">
        <v>21</v>
      </c>
      <c r="G13" t="s">
        <v>69</v>
      </c>
      <c r="H13" t="s">
        <v>34</v>
      </c>
      <c r="I13">
        <v>1</v>
      </c>
      <c r="J13">
        <v>7200</v>
      </c>
    </row>
    <row r="14" spans="1:16" x14ac:dyDescent="0.3">
      <c r="A14" t="s">
        <v>70</v>
      </c>
      <c r="B14" t="s">
        <v>71</v>
      </c>
      <c r="C14" t="s">
        <v>25</v>
      </c>
      <c r="D14" t="s">
        <v>26</v>
      </c>
      <c r="E14">
        <v>46084</v>
      </c>
      <c r="F14" t="s">
        <v>15</v>
      </c>
      <c r="G14" t="s">
        <v>72</v>
      </c>
      <c r="H14" t="s">
        <v>17</v>
      </c>
      <c r="I14">
        <v>3</v>
      </c>
      <c r="J14">
        <v>4500</v>
      </c>
    </row>
    <row r="15" spans="1:16" x14ac:dyDescent="0.3">
      <c r="A15" t="s">
        <v>73</v>
      </c>
      <c r="B15" t="s">
        <v>74</v>
      </c>
      <c r="C15" t="s">
        <v>51</v>
      </c>
      <c r="D15" t="s">
        <v>51</v>
      </c>
      <c r="E15">
        <v>46089</v>
      </c>
      <c r="F15" t="s">
        <v>32</v>
      </c>
      <c r="G15" t="s">
        <v>75</v>
      </c>
      <c r="H15" t="s">
        <v>53</v>
      </c>
      <c r="I15">
        <v>4</v>
      </c>
      <c r="J15">
        <v>800</v>
      </c>
    </row>
    <row r="16" spans="1:16" x14ac:dyDescent="0.3">
      <c r="A16" t="s">
        <v>76</v>
      </c>
      <c r="B16" t="s">
        <v>77</v>
      </c>
      <c r="C16" t="s">
        <v>46</v>
      </c>
      <c r="D16" t="s">
        <v>47</v>
      </c>
      <c r="E16">
        <v>46093</v>
      </c>
      <c r="F16" t="s">
        <v>21</v>
      </c>
      <c r="G16" t="s">
        <v>78</v>
      </c>
      <c r="H16" t="s">
        <v>17</v>
      </c>
      <c r="I16">
        <v>1</v>
      </c>
      <c r="J16">
        <v>8500</v>
      </c>
    </row>
    <row r="17" spans="1:10" x14ac:dyDescent="0.3">
      <c r="A17" t="s">
        <v>79</v>
      </c>
      <c r="B17" t="s">
        <v>80</v>
      </c>
      <c r="C17" t="s">
        <v>37</v>
      </c>
      <c r="D17" t="s">
        <v>38</v>
      </c>
      <c r="E17">
        <v>46099</v>
      </c>
      <c r="F17" t="s">
        <v>15</v>
      </c>
      <c r="G17" t="s">
        <v>81</v>
      </c>
      <c r="H17" t="s">
        <v>17</v>
      </c>
      <c r="I17">
        <v>5</v>
      </c>
      <c r="J17">
        <v>2750</v>
      </c>
    </row>
    <row r="18" spans="1:10" x14ac:dyDescent="0.3">
      <c r="A18" t="s">
        <v>82</v>
      </c>
      <c r="B18" t="s">
        <v>83</v>
      </c>
      <c r="C18" t="s">
        <v>42</v>
      </c>
      <c r="D18" t="s">
        <v>31</v>
      </c>
      <c r="E18">
        <v>46103</v>
      </c>
      <c r="F18" t="s">
        <v>32</v>
      </c>
      <c r="G18" t="s">
        <v>84</v>
      </c>
      <c r="H18" t="s">
        <v>34</v>
      </c>
      <c r="I18">
        <v>3</v>
      </c>
      <c r="J18">
        <v>2100</v>
      </c>
    </row>
    <row r="19" spans="1:10" x14ac:dyDescent="0.3">
      <c r="A19" t="s">
        <v>85</v>
      </c>
      <c r="B19" t="s">
        <v>86</v>
      </c>
      <c r="C19" t="s">
        <v>56</v>
      </c>
      <c r="D19" t="s">
        <v>57</v>
      </c>
      <c r="E19">
        <v>46108</v>
      </c>
      <c r="F19" t="s">
        <v>15</v>
      </c>
      <c r="G19" t="s">
        <v>87</v>
      </c>
      <c r="H19" t="s">
        <v>53</v>
      </c>
      <c r="I19">
        <v>1</v>
      </c>
      <c r="J19">
        <v>9800</v>
      </c>
    </row>
    <row r="20" spans="1:10" x14ac:dyDescent="0.3">
      <c r="A20" t="s">
        <v>88</v>
      </c>
      <c r="B20" t="s">
        <v>89</v>
      </c>
      <c r="C20" t="s">
        <v>61</v>
      </c>
      <c r="D20" t="s">
        <v>62</v>
      </c>
      <c r="E20">
        <v>46114</v>
      </c>
      <c r="F20" t="s">
        <v>21</v>
      </c>
      <c r="G20" t="s">
        <v>90</v>
      </c>
      <c r="H20" t="s">
        <v>34</v>
      </c>
      <c r="I20">
        <v>2</v>
      </c>
      <c r="J20">
        <v>6100</v>
      </c>
    </row>
    <row r="21" spans="1:10" x14ac:dyDescent="0.3">
      <c r="A21" t="s">
        <v>91</v>
      </c>
      <c r="B21" t="s">
        <v>92</v>
      </c>
      <c r="C21" t="s">
        <v>13</v>
      </c>
      <c r="D21" t="s">
        <v>14</v>
      </c>
      <c r="E21">
        <v>46119</v>
      </c>
      <c r="F21" t="s">
        <v>32</v>
      </c>
      <c r="G21" t="s">
        <v>93</v>
      </c>
      <c r="H21" t="s">
        <v>17</v>
      </c>
      <c r="I21">
        <v>2</v>
      </c>
      <c r="J21">
        <v>3000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5A835-8955-4036-A2B9-F197560A1102}">
  <dimension ref="A1:Q11"/>
  <sheetViews>
    <sheetView tabSelected="1" workbookViewId="0">
      <selection activeCell="N7" sqref="N7"/>
    </sheetView>
  </sheetViews>
  <sheetFormatPr defaultRowHeight="14.4" x14ac:dyDescent="0.3"/>
  <cols>
    <col min="7" max="7" width="16.6640625" customWidth="1"/>
    <col min="8" max="8" width="11.44140625" customWidth="1"/>
  </cols>
  <sheetData>
    <row r="1" spans="1:17" ht="28.8" x14ac:dyDescent="0.3">
      <c r="A1" s="2" t="s">
        <v>166</v>
      </c>
      <c r="B1" s="2" t="s">
        <v>167</v>
      </c>
      <c r="C1" s="2" t="s">
        <v>168</v>
      </c>
      <c r="D1" s="4" t="s">
        <v>169</v>
      </c>
      <c r="E1" s="2" t="s">
        <v>170</v>
      </c>
      <c r="G1" t="s">
        <v>194</v>
      </c>
      <c r="H1" t="s">
        <v>167</v>
      </c>
      <c r="I1" t="s">
        <v>168</v>
      </c>
      <c r="J1" t="s">
        <v>169</v>
      </c>
      <c r="K1" t="s">
        <v>170</v>
      </c>
      <c r="M1" t="s">
        <v>194</v>
      </c>
      <c r="N1" t="s">
        <v>167</v>
      </c>
      <c r="O1" t="s">
        <v>168</v>
      </c>
      <c r="P1" t="s">
        <v>169</v>
      </c>
      <c r="Q1" t="s">
        <v>170</v>
      </c>
    </row>
    <row r="2" spans="1:17" ht="28.8" x14ac:dyDescent="0.3">
      <c r="A2" s="5" t="s">
        <v>171</v>
      </c>
      <c r="B2" s="5" t="s">
        <v>172</v>
      </c>
      <c r="C2" s="5" t="s">
        <v>103</v>
      </c>
      <c r="D2" s="3">
        <v>45000</v>
      </c>
      <c r="E2" s="5" t="s">
        <v>173</v>
      </c>
      <c r="G2" t="s">
        <v>177</v>
      </c>
      <c r="H2" t="str">
        <f>VLOOKUP(G2,A2:E11,2,FALSE)</f>
        <v>Arjun</v>
      </c>
      <c r="I2" t="str">
        <f>VLOOKUP(G2,A2:E11,3,FALSE)</f>
        <v>Finance</v>
      </c>
      <c r="J2">
        <f>VLOOKUP(G2,A2:E11,4,FALSE)</f>
        <v>52000</v>
      </c>
      <c r="K2" t="str">
        <f>VLOOKUP(G2,A2:E11,5,FALSE)</f>
        <v>Chennai</v>
      </c>
      <c r="M2" t="s">
        <v>174</v>
      </c>
      <c r="N2" t="str">
        <f>_xlfn.XLOOKUP(M2,A2:A11,B2:B11)</f>
        <v>Priya</v>
      </c>
      <c r="O2" t="str">
        <f>_xlfn.XLOOKUP(M2,A2:A11,C2:C11)</f>
        <v>HR</v>
      </c>
      <c r="P2">
        <f>_xlfn.XLOOKUP(M2,A2:A11,D2:D11)</f>
        <v>42000</v>
      </c>
      <c r="Q2" t="str">
        <f>_xlfn.XLOOKUP(M2,A2:A11,E2:E11)</f>
        <v>Mumbai</v>
      </c>
    </row>
    <row r="3" spans="1:17" x14ac:dyDescent="0.3">
      <c r="A3" s="5" t="s">
        <v>174</v>
      </c>
      <c r="B3" s="5" t="s">
        <v>175</v>
      </c>
      <c r="C3" s="5" t="s">
        <v>176</v>
      </c>
      <c r="D3" s="3">
        <v>42000</v>
      </c>
      <c r="E3" s="5" t="s">
        <v>30</v>
      </c>
      <c r="G3" t="s">
        <v>186</v>
      </c>
      <c r="H3" t="str">
        <f t="shared" ref="H3:H6" si="0">VLOOKUP(G3,A3:E12,2,FALSE)</f>
        <v>Rohit</v>
      </c>
      <c r="I3" t="str">
        <f t="shared" ref="I3:I6" si="1">VLOOKUP(G3,A3:E12,3,FALSE)</f>
        <v>Finance</v>
      </c>
      <c r="J3">
        <f t="shared" ref="J3:J6" si="2">VLOOKUP(G3,A3:E12,4,FALSE)</f>
        <v>55000</v>
      </c>
      <c r="K3" t="str">
        <f t="shared" ref="K3:K6" si="3">VLOOKUP(G3,A3:E12,5,FALSE)</f>
        <v>Delhi</v>
      </c>
      <c r="M3" t="s">
        <v>180</v>
      </c>
      <c r="N3" t="str">
        <f t="shared" ref="N3:N6" si="4">_xlfn.XLOOKUP(M3,A3:A12,B3:B12)</f>
        <v>Sneha</v>
      </c>
      <c r="O3" t="str">
        <f t="shared" ref="O3:O6" si="5">_xlfn.XLOOKUP(M3,A3:A12,C3:C12)</f>
        <v>IT</v>
      </c>
      <c r="P3">
        <f t="shared" ref="P3:P6" si="6">_xlfn.XLOOKUP(M3,A3:A12,D3:D12)</f>
        <v>48000</v>
      </c>
      <c r="Q3" t="str">
        <f t="shared" ref="Q3:Q6" si="7">_xlfn.XLOOKUP(M3,A3:A12,E3:E12)</f>
        <v>Hyderabad</v>
      </c>
    </row>
    <row r="4" spans="1:17" x14ac:dyDescent="0.3">
      <c r="A4" s="5" t="s">
        <v>177</v>
      </c>
      <c r="B4" s="5" t="s">
        <v>178</v>
      </c>
      <c r="C4" s="5" t="s">
        <v>179</v>
      </c>
      <c r="D4" s="3">
        <v>52000</v>
      </c>
      <c r="E4" s="5" t="s">
        <v>25</v>
      </c>
      <c r="G4" t="s">
        <v>171</v>
      </c>
      <c r="H4" t="e">
        <f t="shared" si="0"/>
        <v>#N/A</v>
      </c>
      <c r="I4" t="e">
        <f t="shared" si="1"/>
        <v>#N/A</v>
      </c>
      <c r="J4" t="e">
        <f t="shared" si="2"/>
        <v>#N/A</v>
      </c>
      <c r="K4" t="e">
        <f t="shared" si="3"/>
        <v>#N/A</v>
      </c>
      <c r="M4" t="s">
        <v>188</v>
      </c>
      <c r="N4" t="str">
        <f t="shared" si="4"/>
        <v>Meera</v>
      </c>
      <c r="O4" t="str">
        <f t="shared" si="5"/>
        <v>Sales</v>
      </c>
      <c r="P4">
        <f t="shared" si="6"/>
        <v>43000</v>
      </c>
      <c r="Q4" t="str">
        <f t="shared" si="7"/>
        <v>Mumbai</v>
      </c>
    </row>
    <row r="5" spans="1:17" ht="28.8" x14ac:dyDescent="0.3">
      <c r="A5" s="5" t="s">
        <v>180</v>
      </c>
      <c r="B5" s="5" t="s">
        <v>181</v>
      </c>
      <c r="C5" s="5" t="s">
        <v>103</v>
      </c>
      <c r="D5" s="3">
        <v>48000</v>
      </c>
      <c r="E5" s="5" t="s">
        <v>37</v>
      </c>
      <c r="G5" t="s">
        <v>190</v>
      </c>
      <c r="H5" t="str">
        <f t="shared" si="0"/>
        <v>Vikram</v>
      </c>
      <c r="I5" t="str">
        <f t="shared" si="1"/>
        <v>IT</v>
      </c>
      <c r="J5">
        <f t="shared" si="2"/>
        <v>60000</v>
      </c>
      <c r="K5" t="str">
        <f t="shared" si="3"/>
        <v>Chennai</v>
      </c>
      <c r="M5" t="s">
        <v>182</v>
      </c>
      <c r="N5" t="str">
        <f t="shared" si="4"/>
        <v>Kiran</v>
      </c>
      <c r="O5" t="str">
        <f t="shared" si="5"/>
        <v>Sales</v>
      </c>
      <c r="P5">
        <f t="shared" si="6"/>
        <v>40000</v>
      </c>
      <c r="Q5" t="str">
        <f t="shared" si="7"/>
        <v>Bangalore</v>
      </c>
    </row>
    <row r="6" spans="1:17" ht="28.8" x14ac:dyDescent="0.3">
      <c r="A6" s="5" t="s">
        <v>182</v>
      </c>
      <c r="B6" s="5" t="s">
        <v>183</v>
      </c>
      <c r="C6" s="5" t="s">
        <v>4</v>
      </c>
      <c r="D6" s="3">
        <v>40000</v>
      </c>
      <c r="E6" s="5" t="s">
        <v>173</v>
      </c>
      <c r="G6" t="s">
        <v>184</v>
      </c>
      <c r="H6" t="str">
        <f t="shared" si="0"/>
        <v>Ananya</v>
      </c>
      <c r="I6" t="str">
        <f t="shared" si="1"/>
        <v>HR</v>
      </c>
      <c r="J6">
        <f t="shared" si="2"/>
        <v>46000</v>
      </c>
      <c r="K6" t="str">
        <f t="shared" si="3"/>
        <v>Pune</v>
      </c>
      <c r="M6" t="s">
        <v>192</v>
      </c>
      <c r="N6" t="str">
        <f t="shared" si="4"/>
        <v>Divya</v>
      </c>
      <c r="O6" t="str">
        <f t="shared" si="5"/>
        <v>Finance</v>
      </c>
      <c r="P6">
        <f t="shared" si="6"/>
        <v>51000</v>
      </c>
      <c r="Q6" t="str">
        <f t="shared" si="7"/>
        <v>Bangalore</v>
      </c>
    </row>
    <row r="7" spans="1:17" x14ac:dyDescent="0.3">
      <c r="A7" s="5" t="s">
        <v>184</v>
      </c>
      <c r="B7" s="5" t="s">
        <v>185</v>
      </c>
      <c r="C7" s="5" t="s">
        <v>176</v>
      </c>
      <c r="D7" s="3">
        <v>46000</v>
      </c>
      <c r="E7" s="5" t="s">
        <v>42</v>
      </c>
    </row>
    <row r="8" spans="1:17" x14ac:dyDescent="0.3">
      <c r="A8" s="5" t="s">
        <v>186</v>
      </c>
      <c r="B8" s="5" t="s">
        <v>187</v>
      </c>
      <c r="C8" s="5" t="s">
        <v>179</v>
      </c>
      <c r="D8" s="3">
        <v>55000</v>
      </c>
      <c r="E8" s="5" t="s">
        <v>51</v>
      </c>
    </row>
    <row r="9" spans="1:17" x14ac:dyDescent="0.3">
      <c r="A9" s="5" t="s">
        <v>188</v>
      </c>
      <c r="B9" s="5" t="s">
        <v>189</v>
      </c>
      <c r="C9" s="5" t="s">
        <v>4</v>
      </c>
      <c r="D9" s="3">
        <v>43000</v>
      </c>
      <c r="E9" s="5" t="s">
        <v>30</v>
      </c>
    </row>
    <row r="10" spans="1:17" x14ac:dyDescent="0.3">
      <c r="A10" s="5" t="s">
        <v>190</v>
      </c>
      <c r="B10" s="5" t="s">
        <v>191</v>
      </c>
      <c r="C10" s="5" t="s">
        <v>103</v>
      </c>
      <c r="D10" s="3">
        <v>60000</v>
      </c>
      <c r="E10" s="5" t="s">
        <v>25</v>
      </c>
    </row>
    <row r="11" spans="1:17" ht="28.8" x14ac:dyDescent="0.3">
      <c r="A11" s="5" t="s">
        <v>192</v>
      </c>
      <c r="B11" s="5" t="s">
        <v>193</v>
      </c>
      <c r="C11" s="5" t="s">
        <v>179</v>
      </c>
      <c r="D11" s="3">
        <v>51000</v>
      </c>
      <c r="E11" s="5" t="s">
        <v>173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AADFC-86D8-424E-B8C2-CAF7F6746C5B}">
  <dimension ref="A1"/>
  <sheetViews>
    <sheetView workbookViewId="0">
      <selection activeCell="F18" sqref="F18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xlookup and vlookup</vt:lpstr>
      <vt:lpstr>Sheet6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RANGANATH B M</cp:lastModifiedBy>
  <dcterms:created xsi:type="dcterms:W3CDTF">2026-09-07T18:59:19Z</dcterms:created>
  <dcterms:modified xsi:type="dcterms:W3CDTF">2026-09-10T17:52:24Z</dcterms:modified>
</cp:coreProperties>
</file>