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F:\ANALYTICS_ALL\"/>
    </mc:Choice>
  </mc:AlternateContent>
  <xr:revisionPtr revIDLastSave="0" documentId="8_{B8F1D136-FD69-4ED5-AFDB-292EF24AEFE4}" xr6:coauthVersionLast="47" xr6:coauthVersionMax="47" xr10:uidLastSave="{00000000-0000-0000-0000-000000000000}"/>
  <bookViews>
    <workbookView xWindow="-108" yWindow="-108" windowWidth="23256" windowHeight="12456" activeTab="2" xr2:uid="{DD19BB7B-C40E-4555-B3A1-EB5A27A53655}"/>
  </bookViews>
  <sheets>
    <sheet name="Sheet1" sheetId="1" r:id="rId1"/>
    <sheet name="calculations" sheetId="2" r:id="rId2"/>
    <sheet name="Dashboard" sheetId="3" r:id="rId3"/>
  </sheet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E2" i="2"/>
  <c r="D2" i="2"/>
  <c r="C2" i="2"/>
  <c r="B2" i="2"/>
  <c r="A2" i="2"/>
</calcChain>
</file>

<file path=xl/sharedStrings.xml><?xml version="1.0" encoding="utf-8"?>
<sst xmlns="http://schemas.openxmlformats.org/spreadsheetml/2006/main" count="609" uniqueCount="179">
  <si>
    <t>Date</t>
  </si>
  <si>
    <t>Month</t>
  </si>
  <si>
    <t>Department</t>
  </si>
  <si>
    <t>Project</t>
  </si>
  <si>
    <t>Task Status</t>
  </si>
  <si>
    <t>Priority</t>
  </si>
  <si>
    <t>Budget</t>
  </si>
  <si>
    <t>Actual Cost</t>
  </si>
  <si>
    <t>Revenue Impact</t>
  </si>
  <si>
    <t>Leads Generated</t>
  </si>
  <si>
    <t>Conversions</t>
  </si>
  <si>
    <t>Region</t>
  </si>
  <si>
    <t>Jan</t>
  </si>
  <si>
    <t>Marketing</t>
  </si>
  <si>
    <t>Q1 Ad Campaign</t>
  </si>
  <si>
    <t>Completed</t>
  </si>
  <si>
    <t>High</t>
  </si>
  <si>
    <t>NA</t>
  </si>
  <si>
    <t>Product</t>
  </si>
  <si>
    <t>MVP Version 1.1</t>
  </si>
  <si>
    <t>EMEA</t>
  </si>
  <si>
    <t>01/15/2024</t>
  </si>
  <si>
    <t>Sales</t>
  </si>
  <si>
    <t>Outbound Calling</t>
  </si>
  <si>
    <t>Medium</t>
  </si>
  <si>
    <t>APAC</t>
  </si>
  <si>
    <t>01/18/2024</t>
  </si>
  <si>
    <t>Content SEO</t>
  </si>
  <si>
    <t>In Progress</t>
  </si>
  <si>
    <t>01/25/2024</t>
  </si>
  <si>
    <t>Operations</t>
  </si>
  <si>
    <t>Legal Compliance</t>
  </si>
  <si>
    <t>Delayed</t>
  </si>
  <si>
    <t>01/28/2024</t>
  </si>
  <si>
    <t>LinkedIn Outreach</t>
  </si>
  <si>
    <t>Feb</t>
  </si>
  <si>
    <t>Webinar Series</t>
  </si>
  <si>
    <t>Hiring Onboarding</t>
  </si>
  <si>
    <t>Mobile App Alpha</t>
  </si>
  <si>
    <t>Partner Program</t>
  </si>
  <si>
    <t>02/19/2024</t>
  </si>
  <si>
    <t>Server Upgrades</t>
  </si>
  <si>
    <t>02/22/2024</t>
  </si>
  <si>
    <t>Bug Fixes</t>
  </si>
  <si>
    <t>02/26/2024</t>
  </si>
  <si>
    <t>Cold Email Blast</t>
  </si>
  <si>
    <t>Mar</t>
  </si>
  <si>
    <t>Q1 Wrap-up Promo</t>
  </si>
  <si>
    <t>Payment Gateway</t>
  </si>
  <si>
    <t>03/14/2024</t>
  </si>
  <si>
    <t>Trade Show</t>
  </si>
  <si>
    <t>03/18/2024</t>
  </si>
  <si>
    <t>Influencer Collab</t>
  </si>
  <si>
    <t>03/21/2024</t>
  </si>
  <si>
    <t>Audit Prep</t>
  </si>
  <si>
    <t>03/25/2024</t>
  </si>
  <si>
    <t>UI Refresh</t>
  </si>
  <si>
    <t>03/29/2024</t>
  </si>
  <si>
    <t>Referral Program</t>
  </si>
  <si>
    <t>Apr</t>
  </si>
  <si>
    <t>Q2 Launch Ads</t>
  </si>
  <si>
    <t>Cloud Migration</t>
  </si>
  <si>
    <t>API Integration</t>
  </si>
  <si>
    <t>04/13/2024</t>
  </si>
  <si>
    <t>Enterprise Pitch</t>
  </si>
  <si>
    <t>04/17/2024</t>
  </si>
  <si>
    <t>Podcast Sponsor</t>
  </si>
  <si>
    <t>04/21/2024</t>
  </si>
  <si>
    <t>Security Patch</t>
  </si>
  <si>
    <t>04/28/2024</t>
  </si>
  <si>
    <t>Upsell Campaign</t>
  </si>
  <si>
    <t>May</t>
  </si>
  <si>
    <t>Summer Promo</t>
  </si>
  <si>
    <t>Vendor Contracts</t>
  </si>
  <si>
    <t>Machine Learning</t>
  </si>
  <si>
    <t>05/14/2024</t>
  </si>
  <si>
    <t>Inbound Funnel</t>
  </si>
  <si>
    <t>05/18/2024</t>
  </si>
  <si>
    <t>B2B Whitepaper</t>
  </si>
  <si>
    <t>05/22/2024</t>
  </si>
  <si>
    <t>Team Retreat</t>
  </si>
  <si>
    <t>Low</t>
  </si>
  <si>
    <t>05/29/2024</t>
  </si>
  <si>
    <t>Agency Partners</t>
  </si>
  <si>
    <t>Jun</t>
  </si>
  <si>
    <t>Video Campaign</t>
  </si>
  <si>
    <t>Q2 Tax Filing</t>
  </si>
  <si>
    <t>Beta Launch</t>
  </si>
  <si>
    <t>Mid-Market Blitz</t>
  </si>
  <si>
    <t>06/16/2024</t>
  </si>
  <si>
    <t>PR Outreach</t>
  </si>
  <si>
    <t>06/20/2024</t>
  </si>
  <si>
    <t>Data Privacy Audit</t>
  </si>
  <si>
    <t>06/28/2024</t>
  </si>
  <si>
    <t>End of Q2 Push</t>
  </si>
  <si>
    <t>Jul</t>
  </si>
  <si>
    <t>Q3 Content Strategy</t>
  </si>
  <si>
    <t>Office Expansion</t>
  </si>
  <si>
    <t>Integration V2</t>
  </si>
  <si>
    <t>07/16/2024</t>
  </si>
  <si>
    <t>Flash Sale</t>
  </si>
  <si>
    <t>07/20/2024</t>
  </si>
  <si>
    <t>Affiliate Launch</t>
  </si>
  <si>
    <t>07/25/2024</t>
  </si>
  <si>
    <t>Payroll System</t>
  </si>
  <si>
    <t>07/30/2024</t>
  </si>
  <si>
    <t>Direct Mailers</t>
  </si>
  <si>
    <t>Aug</t>
  </si>
  <si>
    <t>Back to Work Ads</t>
  </si>
  <si>
    <t>UX Redesign</t>
  </si>
  <si>
    <t>Webinar Leads</t>
  </si>
  <si>
    <t>08/15/2024</t>
  </si>
  <si>
    <t>Vendor Audit</t>
  </si>
  <si>
    <t>08/20/2024</t>
  </si>
  <si>
    <t>SEO Optimization</t>
  </si>
  <si>
    <t>08/24/2024</t>
  </si>
  <si>
    <t>Database Upgrade</t>
  </si>
  <si>
    <t>08/28/2024</t>
  </si>
  <si>
    <t>SME Outreach</t>
  </si>
  <si>
    <t>Sep</t>
  </si>
  <si>
    <t>Q3 Wrap-up</t>
  </si>
  <si>
    <t>Legal Review</t>
  </si>
  <si>
    <t>Mobile App Beta</t>
  </si>
  <si>
    <t>09/15/2024</t>
  </si>
  <si>
    <t>Channel Partners</t>
  </si>
  <si>
    <t>09/19/2024</t>
  </si>
  <si>
    <t>Sponsorships</t>
  </si>
  <si>
    <t>09/24/2024</t>
  </si>
  <si>
    <t>IT Security Prep</t>
  </si>
  <si>
    <t>09/28/2024</t>
  </si>
  <si>
    <t>Q3 Quota Push</t>
  </si>
  <si>
    <t>Oct</t>
  </si>
  <si>
    <t>Q4 Holiday Prep</t>
  </si>
  <si>
    <t>Analytics V2</t>
  </si>
  <si>
    <t>Enterprise Renewal</t>
  </si>
  <si>
    <t>10/17/2024</t>
  </si>
  <si>
    <t>Q4 Tax Planning</t>
  </si>
  <si>
    <t>10/21/2024</t>
  </si>
  <si>
    <t>LinkedIn Ads</t>
  </si>
  <si>
    <t>10/25/2024</t>
  </si>
  <si>
    <t>Bug Squashing</t>
  </si>
  <si>
    <t>10/30/2024</t>
  </si>
  <si>
    <t>Referral Drive</t>
  </si>
  <si>
    <t>Nov</t>
  </si>
  <si>
    <t>Black Friday Promo</t>
  </si>
  <si>
    <t>EOY Reviews</t>
  </si>
  <si>
    <t>Holiday Load Test</t>
  </si>
  <si>
    <t>11/16/2024</t>
  </si>
  <si>
    <t>11/20/2024</t>
  </si>
  <si>
    <t>Retargeting</t>
  </si>
  <si>
    <t>11/25/2024</t>
  </si>
  <si>
    <t>Benefits Renewal</t>
  </si>
  <si>
    <t>11/29/2024</t>
  </si>
  <si>
    <t>Cyber Monday</t>
  </si>
  <si>
    <t>Dec</t>
  </si>
  <si>
    <t>Year-End Wrap</t>
  </si>
  <si>
    <t>Roadmap Planning</t>
  </si>
  <si>
    <t>Holiday Party</t>
  </si>
  <si>
    <t>12/15/2024</t>
  </si>
  <si>
    <t>Closing Q4 Deals</t>
  </si>
  <si>
    <t>12/20/2024</t>
  </si>
  <si>
    <t>Brand Awareness</t>
  </si>
  <si>
    <t>12/24/2024</t>
  </si>
  <si>
    <t>Minor Patch</t>
  </si>
  <si>
    <t>12/28/2024</t>
  </si>
  <si>
    <t>Last Push 2024</t>
  </si>
  <si>
    <t>Total Budget</t>
  </si>
  <si>
    <t>Actual Spend</t>
  </si>
  <si>
    <t>Budget Variance</t>
  </si>
  <si>
    <t>Total Revenue</t>
  </si>
  <si>
    <t>Total Leads</t>
  </si>
  <si>
    <t>Conversion Rate</t>
  </si>
  <si>
    <t>Row Labels</t>
  </si>
  <si>
    <t>(blank)</t>
  </si>
  <si>
    <t>Grand Total</t>
  </si>
  <si>
    <t>Sum of Revenue Impact</t>
  </si>
  <si>
    <t>Sum of Budget</t>
  </si>
  <si>
    <t>Sum of Actual Cost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</si>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</sst>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[Book1.xlsx]calculations!PivotTable3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Growth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calculations!$B$4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calculations!$A$5:$A$18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(blank)</c:v>
                </c:pt>
              </c:strCache>
            </c:strRef>
          </c:cat>
          <c:val>
            <c:numRef>
              <c:f>calculations!$B$5:$B$18</c:f>
              <c:numCache>
                <c:formatCode>General</c:formatCode>
                <c:ptCount val="13"/>
                <c:pt idx="0">
                  <c:v>47500</c:v>
                </c:pt>
                <c:pt idx="1">
                  <c:v>22000</c:v>
                </c:pt>
                <c:pt idx="2">
                  <c:v>66500</c:v>
                </c:pt>
                <c:pt idx="3">
                  <c:v>77000</c:v>
                </c:pt>
                <c:pt idx="4">
                  <c:v>48000</c:v>
                </c:pt>
                <c:pt idx="5">
                  <c:v>138000</c:v>
                </c:pt>
                <c:pt idx="6">
                  <c:v>39000</c:v>
                </c:pt>
                <c:pt idx="7">
                  <c:v>55000</c:v>
                </c:pt>
                <c:pt idx="8">
                  <c:v>88000</c:v>
                </c:pt>
                <c:pt idx="9">
                  <c:v>75000</c:v>
                </c:pt>
                <c:pt idx="10">
                  <c:v>111000</c:v>
                </c:pt>
                <c:pt idx="11">
                  <c:v>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05-4561-85D4-2005E8C54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3298864"/>
        <c:axId val="164132464"/>
      </c:lineChart>
      <c:catAx>
        <c:axId val="56329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32464"/>
        <c:crosses val="autoZero"/>
        <c:auto val="1"/>
        <c:lblAlgn val="ctr"/>
        <c:lblOffset val="100"/>
        <c:noMultiLvlLbl val="0"/>
      </c:catAx>
      <c:valAx>
        <c:axId val="16413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29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[Book1.xlsx]calculations!PivotTable4</c:name>
    <c:fmtId val="2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865028235106976"/>
          <c:y val="0.12069067209295467"/>
          <c:w val="0.51359898194543863"/>
          <c:h val="0.46013263440384561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calculations!$B$20</c:f>
              <c:strCache>
                <c:ptCount val="1"/>
                <c:pt idx="0">
                  <c:v>Sum of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calculations!$A$21:$A$26</c:f>
              <c:strCache>
                <c:ptCount val="5"/>
                <c:pt idx="0">
                  <c:v>Marketing</c:v>
                </c:pt>
                <c:pt idx="1">
                  <c:v>Operations</c:v>
                </c:pt>
                <c:pt idx="2">
                  <c:v>Product</c:v>
                </c:pt>
                <c:pt idx="3">
                  <c:v>Sales</c:v>
                </c:pt>
                <c:pt idx="4">
                  <c:v>(blank)</c:v>
                </c:pt>
              </c:strCache>
            </c:strRef>
          </c:cat>
          <c:val>
            <c:numRef>
              <c:f>calculations!$B$21:$B$26</c:f>
              <c:numCache>
                <c:formatCode>General</c:formatCode>
                <c:ptCount val="5"/>
                <c:pt idx="0">
                  <c:v>112500</c:v>
                </c:pt>
                <c:pt idx="1">
                  <c:v>73500</c:v>
                </c:pt>
                <c:pt idx="2">
                  <c:v>109000</c:v>
                </c:pt>
                <c:pt idx="3">
                  <c:v>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2-4CD0-AB09-595165AD88E9}"/>
            </c:ext>
          </c:extLst>
        </c:ser>
        <c:ser>
          <c:idx val="1"/>
          <c:order val="1"/>
          <c:tx>
            <c:strRef>
              <c:f>calculations!$C$20</c:f>
              <c:strCache>
                <c:ptCount val="1"/>
                <c:pt idx="0">
                  <c:v>Sum of Actual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calculations!$A$21:$A$26</c:f>
              <c:strCache>
                <c:ptCount val="5"/>
                <c:pt idx="0">
                  <c:v>Marketing</c:v>
                </c:pt>
                <c:pt idx="1">
                  <c:v>Operations</c:v>
                </c:pt>
                <c:pt idx="2">
                  <c:v>Product</c:v>
                </c:pt>
                <c:pt idx="3">
                  <c:v>Sales</c:v>
                </c:pt>
                <c:pt idx="4">
                  <c:v>(blank)</c:v>
                </c:pt>
              </c:strCache>
            </c:strRef>
          </c:cat>
          <c:val>
            <c:numRef>
              <c:f>calculations!$C$21:$C$26</c:f>
              <c:numCache>
                <c:formatCode>General</c:formatCode>
                <c:ptCount val="5"/>
                <c:pt idx="0">
                  <c:v>102200</c:v>
                </c:pt>
                <c:pt idx="1">
                  <c:v>68600</c:v>
                </c:pt>
                <c:pt idx="2">
                  <c:v>96400</c:v>
                </c:pt>
                <c:pt idx="3">
                  <c:v>83600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32-4CD0-AB09-595165AD8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64963488"/>
        <c:axId val="320889392"/>
        <c:axId val="0"/>
      </c:bar3DChart>
      <c:catAx>
        <c:axId val="56496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889392"/>
        <c:crosses val="autoZero"/>
        <c:auto val="1"/>
        <c:lblAlgn val="ctr"/>
        <c:lblOffset val="100"/>
        <c:noMultiLvlLbl val="0"/>
      </c:catAx>
      <c:valAx>
        <c:axId val="32088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96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[Book1.xlsx]calculations!PivotTable5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Region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510796499564737"/>
          <c:y val="0.26800759979629413"/>
          <c:w val="0.55332698437632954"/>
          <c:h val="0.66234065891017357"/>
        </c:manualLayout>
      </c:layout>
      <c:doughnutChart>
        <c:varyColors val="1"/>
        <c:ser>
          <c:idx val="0"/>
          <c:order val="0"/>
          <c:tx>
            <c:strRef>
              <c:f>calculations!$G$4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0A-4E76-8D16-E3B2B6A781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0A-4E76-8D16-E3B2B6A781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0A-4E76-8D16-E3B2B6A781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10A-4E76-8D16-E3B2B6A78129}"/>
              </c:ext>
            </c:extLst>
          </c:dPt>
          <c:cat>
            <c:strRef>
              <c:f>calculations!$F$5:$F$9</c:f>
              <c:strCache>
                <c:ptCount val="4"/>
                <c:pt idx="0">
                  <c:v>APAC</c:v>
                </c:pt>
                <c:pt idx="1">
                  <c:v>EMEA</c:v>
                </c:pt>
                <c:pt idx="2">
                  <c:v>NA</c:v>
                </c:pt>
                <c:pt idx="3">
                  <c:v>(blank)</c:v>
                </c:pt>
              </c:strCache>
            </c:strRef>
          </c:cat>
          <c:val>
            <c:numRef>
              <c:f>calculations!$G$5:$G$9</c:f>
              <c:numCache>
                <c:formatCode>General</c:formatCode>
                <c:ptCount val="4"/>
                <c:pt idx="0">
                  <c:v>117500</c:v>
                </c:pt>
                <c:pt idx="1">
                  <c:v>241000</c:v>
                </c:pt>
                <c:pt idx="2">
                  <c:v>488500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0A-4E76-8D16-E3B2B6A78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[Book1.xlsx]calculations!PivotTable6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545603674540682"/>
          <c:y val="0.14249781277340332"/>
          <c:w val="0.6910717410323709"/>
          <c:h val="0.6585309128025663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calculations!$F$16:$F$17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calculations!$E$18:$E$23</c:f>
              <c:strCache>
                <c:ptCount val="5"/>
                <c:pt idx="0">
                  <c:v>Marketing</c:v>
                </c:pt>
                <c:pt idx="1">
                  <c:v>Operations</c:v>
                </c:pt>
                <c:pt idx="2">
                  <c:v>Product</c:v>
                </c:pt>
                <c:pt idx="3">
                  <c:v>Sales</c:v>
                </c:pt>
                <c:pt idx="4">
                  <c:v>(blank)</c:v>
                </c:pt>
              </c:strCache>
            </c:strRef>
          </c:cat>
          <c:val>
            <c:numRef>
              <c:f>calculations!$F$18:$F$23</c:f>
              <c:numCache>
                <c:formatCode>General</c:formatCode>
                <c:ptCount val="5"/>
                <c:pt idx="0">
                  <c:v>92700</c:v>
                </c:pt>
                <c:pt idx="1">
                  <c:v>39900</c:v>
                </c:pt>
                <c:pt idx="2">
                  <c:v>62400</c:v>
                </c:pt>
                <c:pt idx="3">
                  <c:v>71600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7-4183-90CF-FB98E8017FAA}"/>
            </c:ext>
          </c:extLst>
        </c:ser>
        <c:ser>
          <c:idx val="1"/>
          <c:order val="1"/>
          <c:tx>
            <c:strRef>
              <c:f>calculations!$G$16:$G$17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calculations!$E$18:$E$23</c:f>
              <c:strCache>
                <c:ptCount val="5"/>
                <c:pt idx="0">
                  <c:v>Marketing</c:v>
                </c:pt>
                <c:pt idx="1">
                  <c:v>Operations</c:v>
                </c:pt>
                <c:pt idx="2">
                  <c:v>Product</c:v>
                </c:pt>
                <c:pt idx="3">
                  <c:v>Sales</c:v>
                </c:pt>
                <c:pt idx="4">
                  <c:v>(blank)</c:v>
                </c:pt>
              </c:strCache>
            </c:strRef>
          </c:cat>
          <c:val>
            <c:numRef>
              <c:f>calculations!$G$18:$G$23</c:f>
              <c:numCache>
                <c:formatCode>General</c:formatCode>
                <c:ptCount val="5"/>
                <c:pt idx="0">
                  <c:v>6000</c:v>
                </c:pt>
                <c:pt idx="1">
                  <c:v>19700</c:v>
                </c:pt>
                <c:pt idx="2">
                  <c:v>19000</c:v>
                </c:pt>
                <c:pt idx="3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87-4183-90CF-FB98E8017FAA}"/>
            </c:ext>
          </c:extLst>
        </c:ser>
        <c:ser>
          <c:idx val="2"/>
          <c:order val="2"/>
          <c:tx>
            <c:strRef>
              <c:f>calculations!$H$16:$H$17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calculations!$E$18:$E$23</c:f>
              <c:strCache>
                <c:ptCount val="5"/>
                <c:pt idx="0">
                  <c:v>Marketing</c:v>
                </c:pt>
                <c:pt idx="1">
                  <c:v>Operations</c:v>
                </c:pt>
                <c:pt idx="2">
                  <c:v>Product</c:v>
                </c:pt>
                <c:pt idx="3">
                  <c:v>Sales</c:v>
                </c:pt>
                <c:pt idx="4">
                  <c:v>(blank)</c:v>
                </c:pt>
              </c:strCache>
            </c:strRef>
          </c:cat>
          <c:val>
            <c:numRef>
              <c:f>calculations!$H$18:$H$23</c:f>
              <c:numCache>
                <c:formatCode>General</c:formatCode>
                <c:ptCount val="5"/>
                <c:pt idx="0">
                  <c:v>3500</c:v>
                </c:pt>
                <c:pt idx="1">
                  <c:v>9000</c:v>
                </c:pt>
                <c:pt idx="2">
                  <c:v>15000</c:v>
                </c:pt>
                <c:pt idx="3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87-4183-90CF-FB98E8017FAA}"/>
            </c:ext>
          </c:extLst>
        </c:ser>
        <c:ser>
          <c:idx val="3"/>
          <c:order val="3"/>
          <c:tx>
            <c:strRef>
              <c:f>calculations!$I$16:$I$17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calculations!$E$18:$E$23</c:f>
              <c:strCache>
                <c:ptCount val="5"/>
                <c:pt idx="0">
                  <c:v>Marketing</c:v>
                </c:pt>
                <c:pt idx="1">
                  <c:v>Operations</c:v>
                </c:pt>
                <c:pt idx="2">
                  <c:v>Product</c:v>
                </c:pt>
                <c:pt idx="3">
                  <c:v>Sales</c:v>
                </c:pt>
                <c:pt idx="4">
                  <c:v>(blank)</c:v>
                </c:pt>
              </c:strCache>
            </c:strRef>
          </c:cat>
          <c:val>
            <c:numRef>
              <c:f>calculations!$I$18:$I$23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7787-4183-90CF-FB98E8017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4969520"/>
        <c:axId val="634478064"/>
      </c:barChart>
      <c:catAx>
        <c:axId val="56496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78064"/>
        <c:crosses val="autoZero"/>
        <c:auto val="1"/>
        <c:lblAlgn val="ctr"/>
        <c:lblOffset val="100"/>
        <c:noMultiLvlLbl val="0"/>
      </c:catAx>
      <c:valAx>
        <c:axId val="6344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96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541666666666659"/>
          <c:y val="6.4745188101487314E-2"/>
          <c:w val="0.16458333333333333"/>
          <c:h val="0.37976851851851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2</xdr:row>
      <xdr:rowOff>45720</xdr:rowOff>
    </xdr:from>
    <xdr:to>
      <xdr:col>3</xdr:col>
      <xdr:colOff>289560</xdr:colOff>
      <xdr:row>9</xdr:row>
      <xdr:rowOff>38100</xdr:rowOff>
    </xdr:to>
    <xdr:sp macro="" textlink="calculations!A2">
      <xdr:nvSpPr>
        <xdr:cNvPr id="2" name="Rectangle 1">
          <a:extLst>
            <a:ext uri="{FF2B5EF4-FFF2-40B4-BE49-F238E27FC236}">
              <a16:creationId xmlns:a16="http://schemas.microsoft.com/office/drawing/2014/main" id="{D5AB6206-3B7D-0B2A-BFCE-3FCDD40A966B}"/>
            </a:ext>
          </a:extLst>
        </xdr:cNvPr>
        <xdr:cNvSpPr/>
      </xdr:nvSpPr>
      <xdr:spPr>
        <a:xfrm>
          <a:off x="259080" y="411480"/>
          <a:ext cx="1859280" cy="12725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35822B3C-A7F6-4E0E-A3E5-91448E1EC6E1}" type="TxLink">
            <a:rPr lang="en-US" sz="4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384000</a:t>
          </a:fld>
          <a:endParaRPr lang="en-IN" sz="4000"/>
        </a:p>
      </xdr:txBody>
    </xdr:sp>
    <xdr:clientData/>
  </xdr:twoCellAnchor>
  <xdr:twoCellAnchor>
    <xdr:from>
      <xdr:col>4</xdr:col>
      <xdr:colOff>99060</xdr:colOff>
      <xdr:row>2</xdr:row>
      <xdr:rowOff>53340</xdr:rowOff>
    </xdr:from>
    <xdr:to>
      <xdr:col>7</xdr:col>
      <xdr:colOff>190500</xdr:colOff>
      <xdr:row>9</xdr:row>
      <xdr:rowOff>30480</xdr:rowOff>
    </xdr:to>
    <xdr:sp macro="" textlink="calculations!B2">
      <xdr:nvSpPr>
        <xdr:cNvPr id="6" name="Rectangle 5">
          <a:extLst>
            <a:ext uri="{FF2B5EF4-FFF2-40B4-BE49-F238E27FC236}">
              <a16:creationId xmlns:a16="http://schemas.microsoft.com/office/drawing/2014/main" id="{C188CD00-5FF8-49B3-8071-8755F422D6B3}"/>
            </a:ext>
          </a:extLst>
        </xdr:cNvPr>
        <xdr:cNvSpPr/>
      </xdr:nvSpPr>
      <xdr:spPr>
        <a:xfrm>
          <a:off x="2537460" y="419100"/>
          <a:ext cx="1920240" cy="1257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9A2FE09-2EC2-494A-90BF-ECBA540358B8}" type="TxLink">
            <a:rPr lang="en-US" sz="4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350800</a:t>
          </a:fld>
          <a:endParaRPr lang="en-IN" sz="4000"/>
        </a:p>
      </xdr:txBody>
    </xdr:sp>
    <xdr:clientData/>
  </xdr:twoCellAnchor>
  <xdr:twoCellAnchor>
    <xdr:from>
      <xdr:col>8</xdr:col>
      <xdr:colOff>144780</xdr:colOff>
      <xdr:row>2</xdr:row>
      <xdr:rowOff>38100</xdr:rowOff>
    </xdr:from>
    <xdr:to>
      <xdr:col>11</xdr:col>
      <xdr:colOff>236220</xdr:colOff>
      <xdr:row>9</xdr:row>
      <xdr:rowOff>45720</xdr:rowOff>
    </xdr:to>
    <xdr:sp macro="" textlink="calculations!C2">
      <xdr:nvSpPr>
        <xdr:cNvPr id="17" name="Rectangle 16">
          <a:extLst>
            <a:ext uri="{FF2B5EF4-FFF2-40B4-BE49-F238E27FC236}">
              <a16:creationId xmlns:a16="http://schemas.microsoft.com/office/drawing/2014/main" id="{735BCFAA-6701-B4C9-2236-0661B7AA3402}"/>
            </a:ext>
          </a:extLst>
        </xdr:cNvPr>
        <xdr:cNvSpPr/>
      </xdr:nvSpPr>
      <xdr:spPr>
        <a:xfrm>
          <a:off x="5021580" y="403860"/>
          <a:ext cx="1920240" cy="1287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490EBC0-0370-405B-B42F-03A7EF77AC00}" type="TxLink">
            <a:rPr lang="en-US" sz="4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33200</a:t>
          </a:fld>
          <a:endParaRPr lang="en-IN" sz="4000"/>
        </a:p>
      </xdr:txBody>
    </xdr:sp>
    <xdr:clientData/>
  </xdr:twoCellAnchor>
  <xdr:twoCellAnchor>
    <xdr:from>
      <xdr:col>12</xdr:col>
      <xdr:colOff>38100</xdr:colOff>
      <xdr:row>2</xdr:row>
      <xdr:rowOff>0</xdr:rowOff>
    </xdr:from>
    <xdr:to>
      <xdr:col>15</xdr:col>
      <xdr:colOff>129540</xdr:colOff>
      <xdr:row>9</xdr:row>
      <xdr:rowOff>7620</xdr:rowOff>
    </xdr:to>
    <xdr:sp macro="" textlink="calculations!D2">
      <xdr:nvSpPr>
        <xdr:cNvPr id="18" name="Rectangle 17">
          <a:extLst>
            <a:ext uri="{FF2B5EF4-FFF2-40B4-BE49-F238E27FC236}">
              <a16:creationId xmlns:a16="http://schemas.microsoft.com/office/drawing/2014/main" id="{3CEBC52D-47AF-6FFE-EE59-7CE61CCFB702}"/>
            </a:ext>
          </a:extLst>
        </xdr:cNvPr>
        <xdr:cNvSpPr/>
      </xdr:nvSpPr>
      <xdr:spPr>
        <a:xfrm>
          <a:off x="7353300" y="365760"/>
          <a:ext cx="1920240" cy="1287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1A59BA2-795B-466C-8B40-8E692A2EA60C}" type="TxLink">
            <a:rPr lang="en-US" sz="4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847000</a:t>
          </a:fld>
          <a:endParaRPr lang="en-IN" sz="4000"/>
        </a:p>
      </xdr:txBody>
    </xdr:sp>
    <xdr:clientData/>
  </xdr:twoCellAnchor>
  <xdr:twoCellAnchor>
    <xdr:from>
      <xdr:col>15</xdr:col>
      <xdr:colOff>601980</xdr:colOff>
      <xdr:row>2</xdr:row>
      <xdr:rowOff>15240</xdr:rowOff>
    </xdr:from>
    <xdr:to>
      <xdr:col>19</xdr:col>
      <xdr:colOff>83820</xdr:colOff>
      <xdr:row>9</xdr:row>
      <xdr:rowOff>38100</xdr:rowOff>
    </xdr:to>
    <xdr:sp macro="" textlink="calculations!E2">
      <xdr:nvSpPr>
        <xdr:cNvPr id="19" name="Rectangle 18">
          <a:extLst>
            <a:ext uri="{FF2B5EF4-FFF2-40B4-BE49-F238E27FC236}">
              <a16:creationId xmlns:a16="http://schemas.microsoft.com/office/drawing/2014/main" id="{A430B44E-988E-B416-872F-5CE8F274F804}"/>
            </a:ext>
          </a:extLst>
        </xdr:cNvPr>
        <xdr:cNvSpPr/>
      </xdr:nvSpPr>
      <xdr:spPr>
        <a:xfrm>
          <a:off x="9745980" y="381000"/>
          <a:ext cx="1920240" cy="13030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8BDFF2C-8F69-43C7-9237-836C17DDFF4F}" type="TxLink">
            <a:rPr lang="en-US" sz="4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14910</a:t>
          </a:fld>
          <a:endParaRPr lang="en-IN" sz="4000"/>
        </a:p>
      </xdr:txBody>
    </xdr:sp>
    <xdr:clientData/>
  </xdr:twoCellAnchor>
  <xdr:twoCellAnchor>
    <xdr:from>
      <xdr:col>19</xdr:col>
      <xdr:colOff>411480</xdr:colOff>
      <xdr:row>2</xdr:row>
      <xdr:rowOff>53340</xdr:rowOff>
    </xdr:from>
    <xdr:to>
      <xdr:col>22</xdr:col>
      <xdr:colOff>510540</xdr:colOff>
      <xdr:row>9</xdr:row>
      <xdr:rowOff>76200</xdr:rowOff>
    </xdr:to>
    <xdr:sp macro="" textlink="calculations!F2">
      <xdr:nvSpPr>
        <xdr:cNvPr id="20" name="Rectangle 19">
          <a:extLst>
            <a:ext uri="{FF2B5EF4-FFF2-40B4-BE49-F238E27FC236}">
              <a16:creationId xmlns:a16="http://schemas.microsoft.com/office/drawing/2014/main" id="{B23926CD-5578-4AE8-977D-5A748E860588}"/>
            </a:ext>
          </a:extLst>
        </xdr:cNvPr>
        <xdr:cNvSpPr/>
      </xdr:nvSpPr>
      <xdr:spPr>
        <a:xfrm>
          <a:off x="11993880" y="419100"/>
          <a:ext cx="1927860" cy="13030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3953CB0E-2BB9-48AA-8A1F-9041CA036AA1}" type="TxLink">
            <a:rPr lang="en-US" sz="4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0.11167002</a:t>
          </a:fld>
          <a:endParaRPr lang="en-IN" sz="4000"/>
        </a:p>
      </xdr:txBody>
    </xdr:sp>
    <xdr:clientData/>
  </xdr:twoCellAnchor>
  <xdr:twoCellAnchor>
    <xdr:from>
      <xdr:col>0</xdr:col>
      <xdr:colOff>487680</xdr:colOff>
      <xdr:row>6</xdr:row>
      <xdr:rowOff>129540</xdr:rowOff>
    </xdr:from>
    <xdr:to>
      <xdr:col>2</xdr:col>
      <xdr:colOff>594360</xdr:colOff>
      <xdr:row>8</xdr:row>
      <xdr:rowOff>38100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04A4EFF-4810-9B41-7348-E02135DE049A}"/>
            </a:ext>
          </a:extLst>
        </xdr:cNvPr>
        <xdr:cNvSpPr txBox="1"/>
      </xdr:nvSpPr>
      <xdr:spPr>
        <a:xfrm>
          <a:off x="487680" y="1226820"/>
          <a:ext cx="1325880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>
              <a:latin typeface="Algerian" panose="04020705040A02060702" pitchFamily="82" charset="0"/>
            </a:rPr>
            <a:t>Total Budget</a:t>
          </a:r>
        </a:p>
      </xdr:txBody>
    </xdr:sp>
    <xdr:clientData/>
  </xdr:twoCellAnchor>
  <xdr:twoCellAnchor>
    <xdr:from>
      <xdr:col>4</xdr:col>
      <xdr:colOff>327660</xdr:colOff>
      <xdr:row>6</xdr:row>
      <xdr:rowOff>137160</xdr:rowOff>
    </xdr:from>
    <xdr:to>
      <xdr:col>6</xdr:col>
      <xdr:colOff>563880</xdr:colOff>
      <xdr:row>8</xdr:row>
      <xdr:rowOff>68580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F55B5F2-420F-519E-5B4E-1BB4444291A5}"/>
            </a:ext>
          </a:extLst>
        </xdr:cNvPr>
        <xdr:cNvSpPr txBox="1"/>
      </xdr:nvSpPr>
      <xdr:spPr>
        <a:xfrm>
          <a:off x="2766060" y="1234440"/>
          <a:ext cx="145542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>
              <a:latin typeface="Algerian" panose="04020705040A02060702" pitchFamily="82" charset="0"/>
            </a:rPr>
            <a:t>Actual Spend</a:t>
          </a:r>
        </a:p>
      </xdr:txBody>
    </xdr:sp>
    <xdr:clientData/>
  </xdr:twoCellAnchor>
  <xdr:twoCellAnchor>
    <xdr:from>
      <xdr:col>8</xdr:col>
      <xdr:colOff>304800</xdr:colOff>
      <xdr:row>7</xdr:row>
      <xdr:rowOff>0</xdr:rowOff>
    </xdr:from>
    <xdr:to>
      <xdr:col>11</xdr:col>
      <xdr:colOff>106680</xdr:colOff>
      <xdr:row>8</xdr:row>
      <xdr:rowOff>91440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57B126F-B473-880D-B59E-5DCE44B535EF}"/>
            </a:ext>
          </a:extLst>
        </xdr:cNvPr>
        <xdr:cNvSpPr txBox="1"/>
      </xdr:nvSpPr>
      <xdr:spPr>
        <a:xfrm>
          <a:off x="5181600" y="1280160"/>
          <a:ext cx="1630680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>
              <a:latin typeface="Algerian" panose="04020705040A02060702" pitchFamily="82" charset="0"/>
            </a:rPr>
            <a:t>Budget Variance</a:t>
          </a:r>
        </a:p>
      </xdr:txBody>
    </xdr:sp>
    <xdr:clientData/>
  </xdr:twoCellAnchor>
  <xdr:twoCellAnchor>
    <xdr:from>
      <xdr:col>12</xdr:col>
      <xdr:colOff>205740</xdr:colOff>
      <xdr:row>6</xdr:row>
      <xdr:rowOff>106680</xdr:rowOff>
    </xdr:from>
    <xdr:to>
      <xdr:col>14</xdr:col>
      <xdr:colOff>579120</xdr:colOff>
      <xdr:row>8</xdr:row>
      <xdr:rowOff>45720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43BC491-13F4-81E9-4702-4837F55551B3}"/>
            </a:ext>
          </a:extLst>
        </xdr:cNvPr>
        <xdr:cNvSpPr txBox="1"/>
      </xdr:nvSpPr>
      <xdr:spPr>
        <a:xfrm>
          <a:off x="7520940" y="1203960"/>
          <a:ext cx="159258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>
              <a:latin typeface="Algerian" panose="04020705040A02060702" pitchFamily="82" charset="0"/>
            </a:rPr>
            <a:t>Total Revenue</a:t>
          </a:r>
        </a:p>
      </xdr:txBody>
    </xdr:sp>
    <xdr:clientData/>
  </xdr:twoCellAnchor>
  <xdr:twoCellAnchor>
    <xdr:from>
      <xdr:col>16</xdr:col>
      <xdr:colOff>205740</xdr:colOff>
      <xdr:row>6</xdr:row>
      <xdr:rowOff>114300</xdr:rowOff>
    </xdr:from>
    <xdr:to>
      <xdr:col>18</xdr:col>
      <xdr:colOff>541020</xdr:colOff>
      <xdr:row>8</xdr:row>
      <xdr:rowOff>68580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99BD2E7-6006-66A4-7A00-F2771717017B}"/>
            </a:ext>
          </a:extLst>
        </xdr:cNvPr>
        <xdr:cNvSpPr txBox="1"/>
      </xdr:nvSpPr>
      <xdr:spPr>
        <a:xfrm>
          <a:off x="9959340" y="1211580"/>
          <a:ext cx="1554480" cy="320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>
              <a:latin typeface="Algerian" panose="04020705040A02060702" pitchFamily="82" charset="0"/>
            </a:rPr>
            <a:t>Total Leads</a:t>
          </a:r>
        </a:p>
      </xdr:txBody>
    </xdr:sp>
    <xdr:clientData/>
  </xdr:twoCellAnchor>
  <xdr:twoCellAnchor>
    <xdr:from>
      <xdr:col>20</xdr:col>
      <xdr:colOff>38100</xdr:colOff>
      <xdr:row>6</xdr:row>
      <xdr:rowOff>160020</xdr:rowOff>
    </xdr:from>
    <xdr:to>
      <xdr:col>22</xdr:col>
      <xdr:colOff>312420</xdr:colOff>
      <xdr:row>8</xdr:row>
      <xdr:rowOff>121920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10BD8FB-F67A-07C7-186F-7BF731995380}"/>
            </a:ext>
          </a:extLst>
        </xdr:cNvPr>
        <xdr:cNvSpPr txBox="1"/>
      </xdr:nvSpPr>
      <xdr:spPr>
        <a:xfrm>
          <a:off x="12230100" y="1257300"/>
          <a:ext cx="1493520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>
              <a:latin typeface="Algerian" panose="04020705040A02060702" pitchFamily="82" charset="0"/>
            </a:rPr>
            <a:t>Conversion Rate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6</xdr:col>
      <xdr:colOff>38100</xdr:colOff>
      <xdr:row>24</xdr:row>
      <xdr:rowOff>167640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338C3059-45B2-4042-816F-757B722CB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99060</xdr:colOff>
      <xdr:row>10</xdr:row>
      <xdr:rowOff>7620</xdr:rowOff>
    </xdr:from>
    <xdr:to>
      <xdr:col>11</xdr:col>
      <xdr:colOff>403860</xdr:colOff>
      <xdr:row>24</xdr:row>
      <xdr:rowOff>91440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7BD8333-DE5D-43E6-A9BB-560024458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434340</xdr:colOff>
      <xdr:row>9</xdr:row>
      <xdr:rowOff>175260</xdr:rowOff>
    </xdr:from>
    <xdr:to>
      <xdr:col>17</xdr:col>
      <xdr:colOff>152400</xdr:colOff>
      <xdr:row>24</xdr:row>
      <xdr:rowOff>60960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E30D1A11-0140-40C5-97FC-844F4FCFD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373380</xdr:colOff>
      <xdr:row>10</xdr:row>
      <xdr:rowOff>76200</xdr:rowOff>
    </xdr:from>
    <xdr:to>
      <xdr:col>22</xdr:col>
      <xdr:colOff>556260</xdr:colOff>
      <xdr:row>24</xdr:row>
      <xdr:rowOff>83820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C9A95E45-8A36-4D9D-A39E-A3E89BFFC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0.5899</cdr:x>
      <cdr:y>0.87079</cdr:y>
    </cdr:from>
    <cdr:to>
      <cdr:x>0.9596</cdr:x>
      <cdr:y>0.9691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2A1183A-E58B-7D0B-AFF6-10E0B08E57BC}"/>
            </a:ext>
          </a:extLst>
        </cdr:cNvPr>
        <cdr:cNvSpPr txBox="1"/>
      </cdr:nvSpPr>
      <cdr:spPr>
        <a:xfrm xmlns:a="http://schemas.openxmlformats.org/drawingml/2006/main">
          <a:off x="2225040" y="2362200"/>
          <a:ext cx="139446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0.46061</cdr:x>
      <cdr:y>0.82584</cdr:y>
    </cdr:from>
    <cdr:to>
      <cdr:x>0.95152</cdr:x>
      <cdr:y>0.94382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36A0888-0126-D83D-589E-857FA9439285}"/>
            </a:ext>
          </a:extLst>
        </cdr:cNvPr>
        <cdr:cNvSpPr txBox="1"/>
      </cdr:nvSpPr>
      <cdr:spPr>
        <a:xfrm xmlns:a="http://schemas.openxmlformats.org/drawingml/2006/main">
          <a:off x="1737360" y="2240280"/>
          <a:ext cx="185166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400"/>
            <a:t>Department</a:t>
          </a:r>
          <a:r>
            <a:rPr lang="en-IN"/>
            <a:t> </a:t>
          </a:r>
          <a:r>
            <a:rPr lang="en-IN" sz="1400">
              <a:latin typeface="+mn-lt"/>
            </a:rPr>
            <a:t>Spend</a:t>
          </a:r>
          <a:endParaRPr lang="en-IN" sz="1400" kern="1200">
            <a:latin typeface="+mn-lt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0.385</cdr:x>
      <cdr:y>0.02083</cdr:y>
    </cdr:from>
    <cdr:to>
      <cdr:x>0.98333</cdr:x>
      <cdr:y>0.0875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21FEBF6-5A2D-3DEC-C651-13FCFD9181BA}"/>
            </a:ext>
          </a:extLst>
        </cdr:cNvPr>
        <cdr:cNvSpPr txBox="1"/>
      </cdr:nvSpPr>
      <cdr:spPr>
        <a:xfrm xmlns:a="http://schemas.openxmlformats.org/drawingml/2006/main">
          <a:off x="1760220" y="57150"/>
          <a:ext cx="2735580" cy="1828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0.50333</cdr:x>
      <cdr:y>0.91528</cdr:y>
    </cdr:from>
    <cdr:to>
      <cdr:x>0.99167</cdr:x>
      <cdr:y>0.9875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F0628C1-DEE8-0BCE-804C-E300F883305A}"/>
            </a:ext>
          </a:extLst>
        </cdr:cNvPr>
        <cdr:cNvSpPr txBox="1"/>
      </cdr:nvSpPr>
      <cdr:spPr>
        <a:xfrm xmlns:a="http://schemas.openxmlformats.org/drawingml/2006/main">
          <a:off x="2301240" y="2510790"/>
          <a:ext cx="223266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/>
            <a:t>100% Stacked Bar Chart</a:t>
          </a:r>
          <a:endParaRPr lang="en-IN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GANATH B M" refreshedDate="46266.89484479167" createdVersion="8" refreshedVersion="8" minRefreshableVersion="3" recordCount="84" xr:uid="{6CCCB5A4-F544-417D-8768-6DC132998535}">
  <cacheSource type="worksheet">
    <worksheetSource ref="A1:L1048576" sheet="Sheet1"/>
  </cacheSource>
  <cacheFields count="12">
    <cacheField name="Date" numFmtId="0">
      <sharedItems containsDate="1" containsBlank="1" containsMixedTypes="1" minDate="2024-02-02T00:00:00" maxDate="2024-12-12T00:00:00"/>
    </cacheField>
    <cacheField name="Month" numFmtId="0">
      <sharedItems containsBlank="1" count="13">
        <s v="Jan"/>
        <s v="Feb"/>
        <s v="Mar"/>
        <s v="Apr"/>
        <s v="May"/>
        <s v="Jun"/>
        <s v="Jul"/>
        <s v="Aug"/>
        <s v="Sep"/>
        <s v="Oct"/>
        <s v="Nov"/>
        <s v="Dec"/>
        <m/>
      </sharedItems>
    </cacheField>
    <cacheField name="Department" numFmtId="0">
      <sharedItems containsBlank="1" count="5">
        <s v="Marketing"/>
        <s v="Product"/>
        <s v="Sales"/>
        <s v="Operations"/>
        <m/>
      </sharedItems>
    </cacheField>
    <cacheField name="Project" numFmtId="0">
      <sharedItems containsBlank="1"/>
    </cacheField>
    <cacheField name="Task Status" numFmtId="0">
      <sharedItems containsBlank="1" count="4">
        <s v="Completed"/>
        <s v="In Progress"/>
        <s v="Delayed"/>
        <m/>
      </sharedItems>
    </cacheField>
    <cacheField name="Priority" numFmtId="0">
      <sharedItems containsBlank="1"/>
    </cacheField>
    <cacheField name="Budget" numFmtId="0">
      <sharedItems containsString="0" containsBlank="1" containsNumber="1" containsInteger="1" minValue="1000" maxValue="15000"/>
    </cacheField>
    <cacheField name="Actual Cost" numFmtId="0">
      <sharedItems containsString="0" containsBlank="1" containsNumber="1" containsInteger="1" minValue="500" maxValue="12500"/>
    </cacheField>
    <cacheField name="Revenue Impact" numFmtId="0">
      <sharedItems containsString="0" containsBlank="1" containsNumber="1" containsInteger="1" minValue="0" maxValue="45000"/>
    </cacheField>
    <cacheField name="Leads Generated" numFmtId="0">
      <sharedItems containsString="0" containsBlank="1" containsNumber="1" containsInteger="1" minValue="0" maxValue="900"/>
    </cacheField>
    <cacheField name="Conversions" numFmtId="0">
      <sharedItems containsString="0" containsBlank="1" containsNumber="1" containsInteger="1" minValue="0" maxValue="110"/>
    </cacheField>
    <cacheField name="Region" numFmtId="0">
      <sharedItems containsBlank="1" count="4">
        <s v="NA"/>
        <s v="EMEA"/>
        <s v="APAC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d v="2024-05-01T00:00:00"/>
    <x v="0"/>
    <x v="0"/>
    <s v="Q1 Ad Campaign"/>
    <x v="0"/>
    <s v="High"/>
    <n v="5000"/>
    <n v="5200"/>
    <n v="12000"/>
    <n v="450"/>
    <n v="42"/>
    <x v="0"/>
  </r>
  <r>
    <d v="2024-12-01T00:00:00"/>
    <x v="0"/>
    <x v="1"/>
    <s v="MVP Version 1.1"/>
    <x v="0"/>
    <s v="High"/>
    <n v="8000"/>
    <n v="8500"/>
    <n v="15000"/>
    <n v="0"/>
    <n v="0"/>
    <x v="1"/>
  </r>
  <r>
    <s v="01/15/2024"/>
    <x v="0"/>
    <x v="2"/>
    <s v="Outbound Calling"/>
    <x v="0"/>
    <s v="Medium"/>
    <n v="2000"/>
    <n v="1900"/>
    <n v="8000"/>
    <n v="300"/>
    <n v="28"/>
    <x v="2"/>
  </r>
  <r>
    <s v="01/18/2024"/>
    <x v="0"/>
    <x v="0"/>
    <s v="Content SEO"/>
    <x v="1"/>
    <s v="Medium"/>
    <n v="1000"/>
    <n v="500"/>
    <n v="3000"/>
    <n v="150"/>
    <n v="10"/>
    <x v="0"/>
  </r>
  <r>
    <s v="01/25/2024"/>
    <x v="0"/>
    <x v="3"/>
    <s v="Legal Compliance"/>
    <x v="2"/>
    <s v="High"/>
    <n v="3000"/>
    <n v="3500"/>
    <n v="0"/>
    <n v="0"/>
    <n v="0"/>
    <x v="1"/>
  </r>
  <r>
    <s v="01/28/2024"/>
    <x v="0"/>
    <x v="2"/>
    <s v="LinkedIn Outreach"/>
    <x v="0"/>
    <s v="High"/>
    <n v="2500"/>
    <n v="2500"/>
    <n v="9500"/>
    <n v="320"/>
    <n v="35"/>
    <x v="0"/>
  </r>
  <r>
    <d v="2024-02-02T00:00:00"/>
    <x v="1"/>
    <x v="0"/>
    <s v="Webinar Series"/>
    <x v="0"/>
    <s v="High"/>
    <n v="4000"/>
    <n v="3800"/>
    <n v="11000"/>
    <n v="400"/>
    <n v="38"/>
    <x v="0"/>
  </r>
  <r>
    <d v="2024-05-02T00:00:00"/>
    <x v="1"/>
    <x v="3"/>
    <s v="Hiring Onboarding"/>
    <x v="0"/>
    <s v="Medium"/>
    <n v="1500"/>
    <n v="1500"/>
    <n v="0"/>
    <n v="0"/>
    <n v="0"/>
    <x v="2"/>
  </r>
  <r>
    <d v="2024-09-02T00:00:00"/>
    <x v="1"/>
    <x v="1"/>
    <s v="Mobile App Alpha"/>
    <x v="2"/>
    <s v="High"/>
    <n v="10000"/>
    <n v="11000"/>
    <n v="0"/>
    <n v="0"/>
    <n v="0"/>
    <x v="0"/>
  </r>
  <r>
    <d v="2024-12-02T00:00:00"/>
    <x v="1"/>
    <x v="2"/>
    <s v="Partner Program"/>
    <x v="1"/>
    <s v="High"/>
    <n v="3500"/>
    <n v="2000"/>
    <n v="6000"/>
    <n v="200"/>
    <n v="18"/>
    <x v="1"/>
  </r>
  <r>
    <s v="02/19/2024"/>
    <x v="1"/>
    <x v="3"/>
    <s v="Server Upgrades"/>
    <x v="0"/>
    <s v="High"/>
    <n v="4500"/>
    <n v="4500"/>
    <n v="0"/>
    <n v="0"/>
    <n v="0"/>
    <x v="1"/>
  </r>
  <r>
    <s v="02/22/2024"/>
    <x v="1"/>
    <x v="1"/>
    <s v="Bug Fixes"/>
    <x v="0"/>
    <s v="Medium"/>
    <n v="2000"/>
    <n v="1800"/>
    <n v="0"/>
    <n v="0"/>
    <n v="0"/>
    <x v="2"/>
  </r>
  <r>
    <s v="02/26/2024"/>
    <x v="1"/>
    <x v="2"/>
    <s v="Cold Email Blast"/>
    <x v="0"/>
    <s v="Medium"/>
    <n v="1500"/>
    <n v="1500"/>
    <n v="5000"/>
    <n v="250"/>
    <n v="20"/>
    <x v="0"/>
  </r>
  <r>
    <d v="2024-03-03T00:00:00"/>
    <x v="2"/>
    <x v="0"/>
    <s v="Q1 Wrap-up Promo"/>
    <x v="0"/>
    <s v="High"/>
    <n v="6000"/>
    <n v="6500"/>
    <n v="18000"/>
    <n v="550"/>
    <n v="60"/>
    <x v="0"/>
  </r>
  <r>
    <d v="2024-10-03T00:00:00"/>
    <x v="2"/>
    <x v="1"/>
    <s v="Payment Gateway"/>
    <x v="0"/>
    <s v="High"/>
    <n v="7500"/>
    <n v="7500"/>
    <n v="14000"/>
    <n v="0"/>
    <n v="0"/>
    <x v="1"/>
  </r>
  <r>
    <s v="03/14/2024"/>
    <x v="2"/>
    <x v="2"/>
    <s v="Trade Show"/>
    <x v="0"/>
    <s v="High"/>
    <n v="8000"/>
    <n v="9000"/>
    <n v="22000"/>
    <n v="600"/>
    <n v="65"/>
    <x v="0"/>
  </r>
  <r>
    <s v="03/18/2024"/>
    <x v="2"/>
    <x v="0"/>
    <s v="Influencer Collab"/>
    <x v="2"/>
    <s v="High"/>
    <n v="5000"/>
    <n v="2500"/>
    <n v="0"/>
    <n v="200"/>
    <n v="15"/>
    <x v="2"/>
  </r>
  <r>
    <s v="03/21/2024"/>
    <x v="2"/>
    <x v="3"/>
    <s v="Audit Prep"/>
    <x v="0"/>
    <s v="Medium"/>
    <n v="3000"/>
    <n v="3100"/>
    <n v="0"/>
    <n v="0"/>
    <n v="0"/>
    <x v="1"/>
  </r>
  <r>
    <s v="03/25/2024"/>
    <x v="2"/>
    <x v="1"/>
    <s v="UI Refresh"/>
    <x v="1"/>
    <s v="Medium"/>
    <n v="4000"/>
    <n v="2000"/>
    <n v="5000"/>
    <n v="0"/>
    <n v="0"/>
    <x v="0"/>
  </r>
  <r>
    <s v="03/29/2024"/>
    <x v="2"/>
    <x v="2"/>
    <s v="Referral Program"/>
    <x v="0"/>
    <s v="Medium"/>
    <n v="2000"/>
    <n v="1900"/>
    <n v="7500"/>
    <n v="280"/>
    <n v="30"/>
    <x v="2"/>
  </r>
  <r>
    <d v="2024-02-04T00:00:00"/>
    <x v="3"/>
    <x v="0"/>
    <s v="Q2 Launch Ads"/>
    <x v="0"/>
    <s v="High"/>
    <n v="7000"/>
    <n v="6800"/>
    <n v="20000"/>
    <n v="500"/>
    <n v="55"/>
    <x v="0"/>
  </r>
  <r>
    <d v="2024-06-04T00:00:00"/>
    <x v="3"/>
    <x v="3"/>
    <s v="Cloud Migration"/>
    <x v="2"/>
    <s v="High"/>
    <n v="6000"/>
    <n v="7000"/>
    <n v="0"/>
    <n v="0"/>
    <n v="0"/>
    <x v="0"/>
  </r>
  <r>
    <d v="2024-10-04T00:00:00"/>
    <x v="3"/>
    <x v="1"/>
    <s v="API Integration"/>
    <x v="0"/>
    <s v="High"/>
    <n v="8500"/>
    <n v="8000"/>
    <n v="16000"/>
    <n v="0"/>
    <n v="0"/>
    <x v="1"/>
  </r>
  <r>
    <s v="04/13/2024"/>
    <x v="3"/>
    <x v="2"/>
    <s v="Enterprise Pitch"/>
    <x v="0"/>
    <s v="High"/>
    <n v="4000"/>
    <n v="4200"/>
    <n v="25000"/>
    <n v="100"/>
    <n v="12"/>
    <x v="0"/>
  </r>
  <r>
    <s v="04/17/2024"/>
    <x v="3"/>
    <x v="0"/>
    <s v="Podcast Sponsor"/>
    <x v="1"/>
    <s v="Medium"/>
    <n v="3000"/>
    <n v="1500"/>
    <n v="4000"/>
    <n v="150"/>
    <n v="14"/>
    <x v="2"/>
  </r>
  <r>
    <s v="04/21/2024"/>
    <x v="3"/>
    <x v="3"/>
    <s v="Security Patch"/>
    <x v="0"/>
    <s v="High"/>
    <n v="2000"/>
    <n v="2000"/>
    <n v="0"/>
    <n v="0"/>
    <n v="0"/>
    <x v="0"/>
  </r>
  <r>
    <s v="04/28/2024"/>
    <x v="3"/>
    <x v="2"/>
    <s v="Upsell Campaign"/>
    <x v="0"/>
    <s v="Medium"/>
    <n v="2500"/>
    <n v="2400"/>
    <n v="12000"/>
    <n v="200"/>
    <n v="25"/>
    <x v="0"/>
  </r>
  <r>
    <d v="2024-03-05T00:00:00"/>
    <x v="4"/>
    <x v="0"/>
    <s v="Summer Promo"/>
    <x v="0"/>
    <s v="High"/>
    <n v="8000"/>
    <n v="8500"/>
    <n v="24000"/>
    <n v="650"/>
    <n v="75"/>
    <x v="0"/>
  </r>
  <r>
    <d v="2024-06-05T00:00:00"/>
    <x v="4"/>
    <x v="3"/>
    <s v="Vendor Contracts"/>
    <x v="2"/>
    <s v="Medium"/>
    <n v="1500"/>
    <n v="1000"/>
    <n v="0"/>
    <n v="0"/>
    <n v="0"/>
    <x v="2"/>
  </r>
  <r>
    <d v="2024-10-05T00:00:00"/>
    <x v="4"/>
    <x v="1"/>
    <s v="Machine Learning"/>
    <x v="1"/>
    <s v="High"/>
    <n v="12000"/>
    <n v="6000"/>
    <n v="0"/>
    <n v="0"/>
    <n v="0"/>
    <x v="0"/>
  </r>
  <r>
    <s v="05/14/2024"/>
    <x v="4"/>
    <x v="2"/>
    <s v="Inbound Funnel"/>
    <x v="0"/>
    <s v="High"/>
    <n v="3500"/>
    <n v="3500"/>
    <n v="18000"/>
    <n v="450"/>
    <n v="50"/>
    <x v="1"/>
  </r>
  <r>
    <s v="05/18/2024"/>
    <x v="4"/>
    <x v="0"/>
    <s v="B2B Whitepaper"/>
    <x v="0"/>
    <s v="Medium"/>
    <n v="2000"/>
    <n v="1800"/>
    <n v="6000"/>
    <n v="250"/>
    <n v="22"/>
    <x v="0"/>
  </r>
  <r>
    <s v="05/22/2024"/>
    <x v="4"/>
    <x v="3"/>
    <s v="Team Retreat"/>
    <x v="0"/>
    <s v="Low"/>
    <n v="5000"/>
    <n v="5500"/>
    <n v="0"/>
    <n v="0"/>
    <n v="0"/>
    <x v="0"/>
  </r>
  <r>
    <s v="05/29/2024"/>
    <x v="4"/>
    <x v="2"/>
    <s v="Agency Partners"/>
    <x v="2"/>
    <s v="High"/>
    <n v="4000"/>
    <n v="2000"/>
    <n v="0"/>
    <n v="0"/>
    <n v="0"/>
    <x v="0"/>
  </r>
  <r>
    <d v="2024-02-06T00:00:00"/>
    <x v="5"/>
    <x v="0"/>
    <s v="Video Campaign"/>
    <x v="0"/>
    <s v="High"/>
    <n v="9000"/>
    <n v="8800"/>
    <n v="28000"/>
    <n v="700"/>
    <n v="85"/>
    <x v="0"/>
  </r>
  <r>
    <d v="2024-05-06T00:00:00"/>
    <x v="5"/>
    <x v="3"/>
    <s v="Q2 Tax Filing"/>
    <x v="0"/>
    <s v="High"/>
    <n v="2500"/>
    <n v="2500"/>
    <n v="0"/>
    <n v="0"/>
    <n v="0"/>
    <x v="1"/>
  </r>
  <r>
    <d v="2024-09-06T00:00:00"/>
    <x v="5"/>
    <x v="1"/>
    <s v="Beta Launch"/>
    <x v="0"/>
    <s v="High"/>
    <n v="10000"/>
    <n v="10500"/>
    <n v="30000"/>
    <n v="0"/>
    <n v="0"/>
    <x v="0"/>
  </r>
  <r>
    <d v="2024-12-06T00:00:00"/>
    <x v="5"/>
    <x v="2"/>
    <s v="Mid-Market Blitz"/>
    <x v="0"/>
    <s v="High"/>
    <n v="6000"/>
    <n v="6000"/>
    <n v="35000"/>
    <n v="400"/>
    <n v="45"/>
    <x v="2"/>
  </r>
  <r>
    <s v="06/16/2024"/>
    <x v="5"/>
    <x v="0"/>
    <s v="PR Outreach"/>
    <x v="1"/>
    <s v="Medium"/>
    <n v="3000"/>
    <n v="1500"/>
    <n v="5000"/>
    <n v="180"/>
    <n v="15"/>
    <x v="1"/>
  </r>
  <r>
    <s v="06/20/2024"/>
    <x v="5"/>
    <x v="3"/>
    <s v="Data Privacy Audit"/>
    <x v="2"/>
    <s v="High"/>
    <n v="4000"/>
    <n v="4200"/>
    <n v="0"/>
    <n v="0"/>
    <n v="0"/>
    <x v="0"/>
  </r>
  <r>
    <s v="06/28/2024"/>
    <x v="5"/>
    <x v="2"/>
    <s v="End of Q2 Push"/>
    <x v="0"/>
    <s v="High"/>
    <n v="5000"/>
    <n v="5500"/>
    <n v="40000"/>
    <n v="500"/>
    <n v="60"/>
    <x v="0"/>
  </r>
  <r>
    <d v="2024-04-07T00:00:00"/>
    <x v="6"/>
    <x v="0"/>
    <s v="Q3 Content Strategy"/>
    <x v="0"/>
    <s v="Medium"/>
    <n v="3000"/>
    <n v="2800"/>
    <n v="8000"/>
    <n v="350"/>
    <n v="30"/>
    <x v="0"/>
  </r>
  <r>
    <d v="2024-08-07T00:00:00"/>
    <x v="6"/>
    <x v="3"/>
    <s v="Office Expansion"/>
    <x v="1"/>
    <s v="High"/>
    <n v="15000"/>
    <n v="8000"/>
    <n v="0"/>
    <n v="0"/>
    <n v="0"/>
    <x v="1"/>
  </r>
  <r>
    <d v="2024-12-07T00:00:00"/>
    <x v="6"/>
    <x v="1"/>
    <s v="Integration V2"/>
    <x v="0"/>
    <s v="High"/>
    <n v="6000"/>
    <n v="6200"/>
    <n v="12000"/>
    <n v="0"/>
    <n v="0"/>
    <x v="2"/>
  </r>
  <r>
    <s v="07/16/2024"/>
    <x v="6"/>
    <x v="2"/>
    <s v="Flash Sale"/>
    <x v="0"/>
    <s v="Medium"/>
    <n v="2000"/>
    <n v="2500"/>
    <n v="15000"/>
    <n v="400"/>
    <n v="48"/>
    <x v="0"/>
  </r>
  <r>
    <s v="07/20/2024"/>
    <x v="6"/>
    <x v="0"/>
    <s v="Affiliate Launch"/>
    <x v="2"/>
    <s v="High"/>
    <n v="4500"/>
    <n v="2000"/>
    <n v="0"/>
    <n v="0"/>
    <n v="0"/>
    <x v="1"/>
  </r>
  <r>
    <s v="07/25/2024"/>
    <x v="6"/>
    <x v="3"/>
    <s v="Payroll System"/>
    <x v="0"/>
    <s v="Medium"/>
    <n v="2500"/>
    <n v="2400"/>
    <n v="0"/>
    <n v="0"/>
    <n v="0"/>
    <x v="0"/>
  </r>
  <r>
    <s v="07/30/2024"/>
    <x v="6"/>
    <x v="2"/>
    <s v="Direct Mailers"/>
    <x v="0"/>
    <s v="Low"/>
    <n v="1500"/>
    <n v="1500"/>
    <n v="4000"/>
    <n v="120"/>
    <n v="10"/>
    <x v="0"/>
  </r>
  <r>
    <d v="2024-03-08T00:00:00"/>
    <x v="7"/>
    <x v="0"/>
    <s v="Back to Work Ads"/>
    <x v="0"/>
    <s v="High"/>
    <n v="6500"/>
    <n v="6700"/>
    <n v="22000"/>
    <n v="580"/>
    <n v="62"/>
    <x v="1"/>
  </r>
  <r>
    <d v="2024-07-08T00:00:00"/>
    <x v="7"/>
    <x v="1"/>
    <s v="UX Redesign"/>
    <x v="1"/>
    <s v="High"/>
    <n v="9000"/>
    <n v="4500"/>
    <n v="0"/>
    <n v="0"/>
    <n v="0"/>
    <x v="0"/>
  </r>
  <r>
    <d v="2024-11-08T00:00:00"/>
    <x v="7"/>
    <x v="2"/>
    <s v="Webinar Leads"/>
    <x v="0"/>
    <s v="Medium"/>
    <n v="3000"/>
    <n v="2800"/>
    <n v="10000"/>
    <n v="250"/>
    <n v="22"/>
    <x v="2"/>
  </r>
  <r>
    <s v="08/15/2024"/>
    <x v="7"/>
    <x v="3"/>
    <s v="Vendor Audit"/>
    <x v="0"/>
    <s v="Low"/>
    <n v="1000"/>
    <n v="900"/>
    <n v="0"/>
    <n v="0"/>
    <n v="0"/>
    <x v="0"/>
  </r>
  <r>
    <s v="08/20/2024"/>
    <x v="7"/>
    <x v="0"/>
    <s v="SEO Optimization"/>
    <x v="0"/>
    <s v="Medium"/>
    <n v="2500"/>
    <n v="2400"/>
    <n v="7000"/>
    <n v="200"/>
    <n v="18"/>
    <x v="1"/>
  </r>
  <r>
    <s v="08/24/2024"/>
    <x v="7"/>
    <x v="1"/>
    <s v="Database Upgrade"/>
    <x v="2"/>
    <s v="High"/>
    <n v="7500"/>
    <n v="8000"/>
    <n v="0"/>
    <n v="0"/>
    <n v="0"/>
    <x v="0"/>
  </r>
  <r>
    <s v="08/28/2024"/>
    <x v="7"/>
    <x v="2"/>
    <s v="SME Outreach"/>
    <x v="0"/>
    <s v="High"/>
    <n v="4000"/>
    <n v="4200"/>
    <n v="16000"/>
    <n v="320"/>
    <n v="35"/>
    <x v="0"/>
  </r>
  <r>
    <d v="2024-02-09T00:00:00"/>
    <x v="8"/>
    <x v="0"/>
    <s v="Q3 Wrap-up"/>
    <x v="0"/>
    <s v="High"/>
    <n v="5500"/>
    <n v="5200"/>
    <n v="19000"/>
    <n v="480"/>
    <n v="50"/>
    <x v="2"/>
  </r>
  <r>
    <d v="2024-06-09T00:00:00"/>
    <x v="8"/>
    <x v="3"/>
    <s v="Legal Review"/>
    <x v="0"/>
    <s v="Medium"/>
    <n v="3500"/>
    <n v="3500"/>
    <n v="0"/>
    <n v="0"/>
    <n v="0"/>
    <x v="0"/>
  </r>
  <r>
    <d v="2024-10-09T00:00:00"/>
    <x v="8"/>
    <x v="1"/>
    <s v="Mobile App Beta"/>
    <x v="0"/>
    <s v="High"/>
    <n v="11000"/>
    <n v="11500"/>
    <n v="25000"/>
    <n v="0"/>
    <n v="0"/>
    <x v="1"/>
  </r>
  <r>
    <s v="09/15/2024"/>
    <x v="8"/>
    <x v="2"/>
    <s v="Channel Partners"/>
    <x v="1"/>
    <s v="High"/>
    <n v="6000"/>
    <n v="3000"/>
    <n v="12000"/>
    <n v="150"/>
    <n v="15"/>
    <x v="0"/>
  </r>
  <r>
    <s v="09/19/2024"/>
    <x v="8"/>
    <x v="0"/>
    <s v="Sponsorships"/>
    <x v="2"/>
    <s v="Medium"/>
    <n v="4000"/>
    <n v="1500"/>
    <n v="0"/>
    <n v="0"/>
    <n v="0"/>
    <x v="0"/>
  </r>
  <r>
    <s v="09/24/2024"/>
    <x v="8"/>
    <x v="3"/>
    <s v="IT Security Prep"/>
    <x v="0"/>
    <s v="High"/>
    <n v="5000"/>
    <n v="5000"/>
    <n v="0"/>
    <n v="0"/>
    <n v="0"/>
    <x v="1"/>
  </r>
  <r>
    <s v="09/28/2024"/>
    <x v="8"/>
    <x v="2"/>
    <s v="Q3 Quota Push"/>
    <x v="0"/>
    <s v="High"/>
    <n v="7000"/>
    <n v="7500"/>
    <n v="32000"/>
    <n v="500"/>
    <n v="58"/>
    <x v="0"/>
  </r>
  <r>
    <d v="2024-03-10T00:00:00"/>
    <x v="9"/>
    <x v="0"/>
    <s v="Q4 Holiday Prep"/>
    <x v="0"/>
    <s v="High"/>
    <n v="8000"/>
    <n v="8100"/>
    <n v="24000"/>
    <n v="600"/>
    <n v="65"/>
    <x v="0"/>
  </r>
  <r>
    <d v="2024-08-10T00:00:00"/>
    <x v="9"/>
    <x v="1"/>
    <s v="Analytics V2"/>
    <x v="1"/>
    <s v="Medium"/>
    <n v="5000"/>
    <n v="2500"/>
    <n v="0"/>
    <n v="0"/>
    <n v="0"/>
    <x v="2"/>
  </r>
  <r>
    <d v="2024-12-10T00:00:00"/>
    <x v="9"/>
    <x v="2"/>
    <s v="Enterprise Renewal"/>
    <x v="0"/>
    <s v="High"/>
    <n v="3000"/>
    <n v="2800"/>
    <n v="40000"/>
    <n v="50"/>
    <n v="45"/>
    <x v="1"/>
  </r>
  <r>
    <s v="10/17/2024"/>
    <x v="9"/>
    <x v="3"/>
    <s v="Q4 Tax Planning"/>
    <x v="0"/>
    <s v="High"/>
    <n v="2500"/>
    <n v="2500"/>
    <n v="0"/>
    <n v="0"/>
    <n v="0"/>
    <x v="0"/>
  </r>
  <r>
    <s v="10/21/2024"/>
    <x v="9"/>
    <x v="0"/>
    <s v="LinkedIn Ads"/>
    <x v="0"/>
    <s v="Medium"/>
    <n v="4000"/>
    <n v="4200"/>
    <n v="11000"/>
    <n v="300"/>
    <n v="28"/>
    <x v="0"/>
  </r>
  <r>
    <s v="10/25/2024"/>
    <x v="9"/>
    <x v="1"/>
    <s v="Bug Squashing"/>
    <x v="0"/>
    <s v="Low"/>
    <n v="1500"/>
    <n v="1400"/>
    <n v="0"/>
    <n v="0"/>
    <n v="0"/>
    <x v="1"/>
  </r>
  <r>
    <s v="10/30/2024"/>
    <x v="9"/>
    <x v="2"/>
    <s v="Referral Drive"/>
    <x v="2"/>
    <s v="Medium"/>
    <n v="2000"/>
    <n v="1000"/>
    <n v="0"/>
    <n v="0"/>
    <n v="0"/>
    <x v="0"/>
  </r>
  <r>
    <d v="2024-04-11T00:00:00"/>
    <x v="10"/>
    <x v="0"/>
    <s v="Black Friday Promo"/>
    <x v="0"/>
    <s v="High"/>
    <n v="12000"/>
    <n v="12500"/>
    <n v="45000"/>
    <n v="900"/>
    <n v="110"/>
    <x v="0"/>
  </r>
  <r>
    <d v="2024-08-11T00:00:00"/>
    <x v="10"/>
    <x v="3"/>
    <s v="EOY Reviews"/>
    <x v="1"/>
    <s v="Medium"/>
    <n v="2000"/>
    <n v="1000"/>
    <n v="0"/>
    <n v="0"/>
    <n v="0"/>
    <x v="1"/>
  </r>
  <r>
    <d v="2024-12-11T00:00:00"/>
    <x v="10"/>
    <x v="1"/>
    <s v="Holiday Load Test"/>
    <x v="0"/>
    <s v="High"/>
    <n v="4000"/>
    <n v="4000"/>
    <n v="0"/>
    <n v="0"/>
    <n v="0"/>
    <x v="0"/>
  </r>
  <r>
    <s v="11/16/2024"/>
    <x v="10"/>
    <x v="2"/>
    <s v="Upsell Campaign"/>
    <x v="0"/>
    <s v="High"/>
    <n v="3500"/>
    <n v="3200"/>
    <n v="22000"/>
    <n v="200"/>
    <n v="30"/>
    <x v="2"/>
  </r>
  <r>
    <s v="11/20/2024"/>
    <x v="10"/>
    <x v="0"/>
    <s v="Retargeting"/>
    <x v="0"/>
    <s v="Medium"/>
    <n v="3000"/>
    <n v="3100"/>
    <n v="9000"/>
    <n v="250"/>
    <n v="25"/>
    <x v="0"/>
  </r>
  <r>
    <s v="11/25/2024"/>
    <x v="10"/>
    <x v="3"/>
    <s v="Benefits Renewal"/>
    <x v="2"/>
    <s v="High"/>
    <n v="3000"/>
    <n v="4000"/>
    <n v="0"/>
    <n v="0"/>
    <n v="0"/>
    <x v="0"/>
  </r>
  <r>
    <s v="11/29/2024"/>
    <x v="10"/>
    <x v="2"/>
    <s v="Cyber Monday"/>
    <x v="0"/>
    <s v="High"/>
    <n v="5000"/>
    <n v="5500"/>
    <n v="35000"/>
    <n v="600"/>
    <n v="75"/>
    <x v="1"/>
  </r>
  <r>
    <d v="2024-03-12T00:00:00"/>
    <x v="11"/>
    <x v="0"/>
    <s v="Year-End Wrap"/>
    <x v="0"/>
    <s v="Medium"/>
    <n v="4000"/>
    <n v="3800"/>
    <n v="12000"/>
    <n v="350"/>
    <n v="35"/>
    <x v="0"/>
  </r>
  <r>
    <d v="2024-07-12T00:00:00"/>
    <x v="11"/>
    <x v="1"/>
    <s v="Roadmap Planning"/>
    <x v="0"/>
    <s v="High"/>
    <n v="2000"/>
    <n v="2000"/>
    <n v="0"/>
    <n v="0"/>
    <n v="0"/>
    <x v="0"/>
  </r>
  <r>
    <d v="2024-11-12T00:00:00"/>
    <x v="11"/>
    <x v="3"/>
    <s v="Holiday Party"/>
    <x v="0"/>
    <s v="Low"/>
    <n v="6000"/>
    <n v="6500"/>
    <n v="0"/>
    <n v="0"/>
    <n v="0"/>
    <x v="2"/>
  </r>
  <r>
    <s v="12/15/2024"/>
    <x v="11"/>
    <x v="2"/>
    <s v="Closing Q4 Deals"/>
    <x v="1"/>
    <s v="High"/>
    <n v="4500"/>
    <n v="4000"/>
    <n v="38000"/>
    <n v="150"/>
    <n v="40"/>
    <x v="1"/>
  </r>
  <r>
    <s v="12/20/2024"/>
    <x v="11"/>
    <x v="0"/>
    <s v="Brand Awareness"/>
    <x v="0"/>
    <s v="Low"/>
    <n v="2500"/>
    <n v="2500"/>
    <n v="5000"/>
    <n v="180"/>
    <n v="15"/>
    <x v="0"/>
  </r>
  <r>
    <s v="12/24/2024"/>
    <x v="11"/>
    <x v="1"/>
    <s v="Minor Patch"/>
    <x v="0"/>
    <s v="Low"/>
    <n v="1000"/>
    <n v="1000"/>
    <n v="0"/>
    <n v="0"/>
    <n v="0"/>
    <x v="0"/>
  </r>
  <r>
    <s v="12/28/2024"/>
    <x v="11"/>
    <x v="2"/>
    <s v="Last Push 2024"/>
    <x v="0"/>
    <s v="High"/>
    <n v="3000"/>
    <n v="3200"/>
    <n v="25000"/>
    <n v="200"/>
    <n v="30"/>
    <x v="0"/>
  </r>
  <r>
    <m/>
    <x v="12"/>
    <x v="4"/>
    <m/>
    <x v="3"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B8D98-B11C-43FE-93A9-8EFAA0C748EA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16:J23" firstHeaderRow="1" firstDataRow="2" firstDataCol="1"/>
  <pivotFields count="12"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Actual Cost" fld="7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3ECEC-47B9-4528-A69D-5AC8A31E2DFC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F4:G9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 Impact" fld="8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234B1-40C0-45FC-9F83-2AE4FF5E59D6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20:C26" firstHeaderRow="0" firstDataRow="1" firstDataCol="1"/>
  <pivotFields count="12"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" fld="6" baseField="0" baseItem="0"/>
    <dataField name="Sum of Actual Cost" fld="7" baseField="0" baseItem="0"/>
  </dataFields>
  <chartFormats count="4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252BE-2EF2-4FF7-9AF5-6FCFDB76355A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4:B18" firstHeaderRow="1" firstDataRow="1" firstDataCol="1"/>
  <pivotFields count="12"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 Impact" fld="8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FA3477-5BB6-4CEA-8708-CF391104C724}" name="Table1" displayName="Table1" ref="A1:L84" totalsRowShown="0">
  <autoFilter ref="A1:L84" xr:uid="{84FA3477-5BB6-4CEA-8708-CF391104C724}"/>
  <tableColumns count="12">
    <tableColumn id="1" xr3:uid="{97129793-661B-4528-BD79-0669628F49FE}" name="Date"/>
    <tableColumn id="2" xr3:uid="{8B9583E9-873D-42FC-AB99-4DC9BF795E07}" name="Month"/>
    <tableColumn id="3" xr3:uid="{AF8A974B-5954-494F-94F8-FCAFFDF71F75}" name="Department"/>
    <tableColumn id="4" xr3:uid="{B4C65485-C3C2-4F51-B7ED-932E9640FAD6}" name="Project"/>
    <tableColumn id="5" xr3:uid="{E7E69E96-E2E5-4336-9271-3902C7BA2D04}" name="Task Status"/>
    <tableColumn id="6" xr3:uid="{BCEC5BB7-FEA6-4E89-9946-88BC7716B0D7}" name="Priority"/>
    <tableColumn id="7" xr3:uid="{945278A3-C35C-41DC-8BA6-34FDB18B061F}" name="Budget"/>
    <tableColumn id="8" xr3:uid="{3E3CAD10-9007-4302-B62E-4AAB8342CEA6}" name="Actual Cost"/>
    <tableColumn id="9" xr3:uid="{72A5D4F5-0CF0-4DDF-8304-D1E2721951C0}" name="Revenue Impact"/>
    <tableColumn id="10" xr3:uid="{1AAB7711-316C-4A41-AF68-D5A4ECC01174}" name="Leads Generated"/>
    <tableColumn id="11" xr3:uid="{8F69538D-36AE-43FB-B472-48BEB8B4C6DE}" name="Conversions"/>
    <tableColumn id="12" xr3:uid="{745DE171-0CEC-4939-BED6-1B876D34DF31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1A30-8469-4149-BC95-98E00E82C6B5}">
  <dimension ref="A1:L84"/>
  <sheetViews>
    <sheetView workbookViewId="0">
      <selection activeCell="L12" sqref="L12"/>
    </sheetView>
  </sheetViews>
  <sheetFormatPr defaultRowHeight="14.4" x14ac:dyDescent="0.3"/>
  <cols>
    <col min="3" max="3" width="13" customWidth="1"/>
    <col min="5" max="5" width="12.33203125" customWidth="1"/>
    <col min="6" max="6" width="9" customWidth="1"/>
    <col min="8" max="8" width="12.33203125" customWidth="1"/>
    <col min="9" max="9" width="16.5546875" customWidth="1"/>
    <col min="10" max="10" width="16.88671875" customWidth="1"/>
    <col min="11" max="11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45413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5000</v>
      </c>
      <c r="H2">
        <v>5200</v>
      </c>
      <c r="I2">
        <v>12000</v>
      </c>
      <c r="J2">
        <v>450</v>
      </c>
      <c r="K2">
        <v>42</v>
      </c>
      <c r="L2" t="s">
        <v>17</v>
      </c>
    </row>
    <row r="3" spans="1:12" x14ac:dyDescent="0.3">
      <c r="A3" s="1">
        <v>45627</v>
      </c>
      <c r="B3" t="s">
        <v>12</v>
      </c>
      <c r="C3" t="s">
        <v>18</v>
      </c>
      <c r="D3" t="s">
        <v>19</v>
      </c>
      <c r="E3" t="s">
        <v>15</v>
      </c>
      <c r="F3" t="s">
        <v>16</v>
      </c>
      <c r="G3">
        <v>8000</v>
      </c>
      <c r="H3">
        <v>8500</v>
      </c>
      <c r="I3">
        <v>15000</v>
      </c>
      <c r="J3">
        <v>0</v>
      </c>
      <c r="K3">
        <v>0</v>
      </c>
      <c r="L3" t="s">
        <v>20</v>
      </c>
    </row>
    <row r="4" spans="1:12" x14ac:dyDescent="0.3">
      <c r="A4" t="s">
        <v>21</v>
      </c>
      <c r="B4" t="s">
        <v>12</v>
      </c>
      <c r="C4" t="s">
        <v>22</v>
      </c>
      <c r="D4" t="s">
        <v>23</v>
      </c>
      <c r="E4" t="s">
        <v>15</v>
      </c>
      <c r="F4" t="s">
        <v>24</v>
      </c>
      <c r="G4">
        <v>2000</v>
      </c>
      <c r="H4">
        <v>1900</v>
      </c>
      <c r="I4">
        <v>8000</v>
      </c>
      <c r="J4">
        <v>300</v>
      </c>
      <c r="K4">
        <v>28</v>
      </c>
      <c r="L4" t="s">
        <v>25</v>
      </c>
    </row>
    <row r="5" spans="1:12" x14ac:dyDescent="0.3">
      <c r="A5" t="s">
        <v>26</v>
      </c>
      <c r="B5" t="s">
        <v>12</v>
      </c>
      <c r="C5" t="s">
        <v>13</v>
      </c>
      <c r="D5" t="s">
        <v>27</v>
      </c>
      <c r="E5" t="s">
        <v>28</v>
      </c>
      <c r="F5" t="s">
        <v>24</v>
      </c>
      <c r="G5">
        <v>1000</v>
      </c>
      <c r="H5">
        <v>500</v>
      </c>
      <c r="I5">
        <v>3000</v>
      </c>
      <c r="J5">
        <v>150</v>
      </c>
      <c r="K5">
        <v>10</v>
      </c>
      <c r="L5" t="s">
        <v>17</v>
      </c>
    </row>
    <row r="6" spans="1:12" x14ac:dyDescent="0.3">
      <c r="A6" t="s">
        <v>29</v>
      </c>
      <c r="B6" t="s">
        <v>12</v>
      </c>
      <c r="C6" t="s">
        <v>30</v>
      </c>
      <c r="D6" t="s">
        <v>31</v>
      </c>
      <c r="E6" t="s">
        <v>32</v>
      </c>
      <c r="F6" t="s">
        <v>16</v>
      </c>
      <c r="G6">
        <v>3000</v>
      </c>
      <c r="H6">
        <v>3500</v>
      </c>
      <c r="I6">
        <v>0</v>
      </c>
      <c r="J6">
        <v>0</v>
      </c>
      <c r="K6">
        <v>0</v>
      </c>
      <c r="L6" t="s">
        <v>20</v>
      </c>
    </row>
    <row r="7" spans="1:12" x14ac:dyDescent="0.3">
      <c r="A7" t="s">
        <v>33</v>
      </c>
      <c r="B7" t="s">
        <v>12</v>
      </c>
      <c r="C7" t="s">
        <v>22</v>
      </c>
      <c r="D7" t="s">
        <v>34</v>
      </c>
      <c r="E7" t="s">
        <v>15</v>
      </c>
      <c r="F7" t="s">
        <v>16</v>
      </c>
      <c r="G7">
        <v>2500</v>
      </c>
      <c r="H7">
        <v>2500</v>
      </c>
      <c r="I7">
        <v>9500</v>
      </c>
      <c r="J7">
        <v>320</v>
      </c>
      <c r="K7">
        <v>35</v>
      </c>
      <c r="L7" t="s">
        <v>17</v>
      </c>
    </row>
    <row r="8" spans="1:12" x14ac:dyDescent="0.3">
      <c r="A8" s="1">
        <v>45324</v>
      </c>
      <c r="B8" t="s">
        <v>35</v>
      </c>
      <c r="C8" t="s">
        <v>13</v>
      </c>
      <c r="D8" t="s">
        <v>36</v>
      </c>
      <c r="E8" t="s">
        <v>15</v>
      </c>
      <c r="F8" t="s">
        <v>16</v>
      </c>
      <c r="G8">
        <v>4000</v>
      </c>
      <c r="H8">
        <v>3800</v>
      </c>
      <c r="I8">
        <v>11000</v>
      </c>
      <c r="J8">
        <v>400</v>
      </c>
      <c r="K8">
        <v>38</v>
      </c>
      <c r="L8" t="s">
        <v>17</v>
      </c>
    </row>
    <row r="9" spans="1:12" x14ac:dyDescent="0.3">
      <c r="A9" s="1">
        <v>45414</v>
      </c>
      <c r="B9" t="s">
        <v>35</v>
      </c>
      <c r="C9" t="s">
        <v>30</v>
      </c>
      <c r="D9" t="s">
        <v>37</v>
      </c>
      <c r="E9" t="s">
        <v>15</v>
      </c>
      <c r="F9" t="s">
        <v>24</v>
      </c>
      <c r="G9">
        <v>1500</v>
      </c>
      <c r="H9">
        <v>1500</v>
      </c>
      <c r="I9">
        <v>0</v>
      </c>
      <c r="J9">
        <v>0</v>
      </c>
      <c r="K9">
        <v>0</v>
      </c>
      <c r="L9" t="s">
        <v>25</v>
      </c>
    </row>
    <row r="10" spans="1:12" x14ac:dyDescent="0.3">
      <c r="A10" s="1">
        <v>45537</v>
      </c>
      <c r="B10" t="s">
        <v>35</v>
      </c>
      <c r="C10" t="s">
        <v>18</v>
      </c>
      <c r="D10" t="s">
        <v>38</v>
      </c>
      <c r="E10" t="s">
        <v>32</v>
      </c>
      <c r="F10" t="s">
        <v>16</v>
      </c>
      <c r="G10">
        <v>10000</v>
      </c>
      <c r="H10">
        <v>11000</v>
      </c>
      <c r="I10">
        <v>0</v>
      </c>
      <c r="J10">
        <v>0</v>
      </c>
      <c r="K10">
        <v>0</v>
      </c>
      <c r="L10" t="s">
        <v>17</v>
      </c>
    </row>
    <row r="11" spans="1:12" x14ac:dyDescent="0.3">
      <c r="A11" s="1">
        <v>45628</v>
      </c>
      <c r="B11" t="s">
        <v>35</v>
      </c>
      <c r="C11" t="s">
        <v>22</v>
      </c>
      <c r="D11" t="s">
        <v>39</v>
      </c>
      <c r="E11" t="s">
        <v>28</v>
      </c>
      <c r="F11" t="s">
        <v>16</v>
      </c>
      <c r="G11">
        <v>3500</v>
      </c>
      <c r="H11">
        <v>2000</v>
      </c>
      <c r="I11">
        <v>6000</v>
      </c>
      <c r="J11">
        <v>200</v>
      </c>
      <c r="K11">
        <v>18</v>
      </c>
      <c r="L11" t="s">
        <v>20</v>
      </c>
    </row>
    <row r="12" spans="1:12" x14ac:dyDescent="0.3">
      <c r="A12" t="s">
        <v>40</v>
      </c>
      <c r="B12" t="s">
        <v>35</v>
      </c>
      <c r="C12" t="s">
        <v>30</v>
      </c>
      <c r="D12" t="s">
        <v>41</v>
      </c>
      <c r="E12" t="s">
        <v>15</v>
      </c>
      <c r="F12" t="s">
        <v>16</v>
      </c>
      <c r="G12">
        <v>4500</v>
      </c>
      <c r="H12">
        <v>4500</v>
      </c>
      <c r="I12">
        <v>0</v>
      </c>
      <c r="J12">
        <v>0</v>
      </c>
      <c r="K12">
        <v>0</v>
      </c>
      <c r="L12" t="s">
        <v>20</v>
      </c>
    </row>
    <row r="13" spans="1:12" x14ac:dyDescent="0.3">
      <c r="A13" t="s">
        <v>42</v>
      </c>
      <c r="B13" t="s">
        <v>35</v>
      </c>
      <c r="C13" t="s">
        <v>18</v>
      </c>
      <c r="D13" t="s">
        <v>43</v>
      </c>
      <c r="E13" t="s">
        <v>15</v>
      </c>
      <c r="F13" t="s">
        <v>24</v>
      </c>
      <c r="G13">
        <v>2000</v>
      </c>
      <c r="H13">
        <v>1800</v>
      </c>
      <c r="I13">
        <v>0</v>
      </c>
      <c r="J13">
        <v>0</v>
      </c>
      <c r="K13">
        <v>0</v>
      </c>
      <c r="L13" t="s">
        <v>25</v>
      </c>
    </row>
    <row r="14" spans="1:12" x14ac:dyDescent="0.3">
      <c r="A14" t="s">
        <v>44</v>
      </c>
      <c r="B14" t="s">
        <v>35</v>
      </c>
      <c r="C14" t="s">
        <v>22</v>
      </c>
      <c r="D14" t="s">
        <v>45</v>
      </c>
      <c r="E14" t="s">
        <v>15</v>
      </c>
      <c r="F14" t="s">
        <v>24</v>
      </c>
      <c r="G14">
        <v>1500</v>
      </c>
      <c r="H14">
        <v>1500</v>
      </c>
      <c r="I14">
        <v>5000</v>
      </c>
      <c r="J14">
        <v>250</v>
      </c>
      <c r="K14">
        <v>20</v>
      </c>
      <c r="L14" t="s">
        <v>17</v>
      </c>
    </row>
    <row r="15" spans="1:12" x14ac:dyDescent="0.3">
      <c r="A15" s="1">
        <v>45354</v>
      </c>
      <c r="B15" t="s">
        <v>46</v>
      </c>
      <c r="C15" t="s">
        <v>13</v>
      </c>
      <c r="D15" t="s">
        <v>47</v>
      </c>
      <c r="E15" t="s">
        <v>15</v>
      </c>
      <c r="F15" t="s">
        <v>16</v>
      </c>
      <c r="G15">
        <v>6000</v>
      </c>
      <c r="H15">
        <v>6500</v>
      </c>
      <c r="I15">
        <v>18000</v>
      </c>
      <c r="J15">
        <v>550</v>
      </c>
      <c r="K15">
        <v>60</v>
      </c>
      <c r="L15" t="s">
        <v>17</v>
      </c>
    </row>
    <row r="16" spans="1:12" x14ac:dyDescent="0.3">
      <c r="A16" s="1">
        <v>45568</v>
      </c>
      <c r="B16" t="s">
        <v>46</v>
      </c>
      <c r="C16" t="s">
        <v>18</v>
      </c>
      <c r="D16" t="s">
        <v>48</v>
      </c>
      <c r="E16" t="s">
        <v>15</v>
      </c>
      <c r="F16" t="s">
        <v>16</v>
      </c>
      <c r="G16">
        <v>7500</v>
      </c>
      <c r="H16">
        <v>7500</v>
      </c>
      <c r="I16">
        <v>14000</v>
      </c>
      <c r="J16">
        <v>0</v>
      </c>
      <c r="K16">
        <v>0</v>
      </c>
      <c r="L16" t="s">
        <v>20</v>
      </c>
    </row>
    <row r="17" spans="1:12" x14ac:dyDescent="0.3">
      <c r="A17" t="s">
        <v>49</v>
      </c>
      <c r="B17" t="s">
        <v>46</v>
      </c>
      <c r="C17" t="s">
        <v>22</v>
      </c>
      <c r="D17" t="s">
        <v>50</v>
      </c>
      <c r="E17" t="s">
        <v>15</v>
      </c>
      <c r="F17" t="s">
        <v>16</v>
      </c>
      <c r="G17">
        <v>8000</v>
      </c>
      <c r="H17">
        <v>9000</v>
      </c>
      <c r="I17">
        <v>22000</v>
      </c>
      <c r="J17">
        <v>600</v>
      </c>
      <c r="K17">
        <v>65</v>
      </c>
      <c r="L17" t="s">
        <v>17</v>
      </c>
    </row>
    <row r="18" spans="1:12" x14ac:dyDescent="0.3">
      <c r="A18" t="s">
        <v>51</v>
      </c>
      <c r="B18" t="s">
        <v>46</v>
      </c>
      <c r="C18" t="s">
        <v>13</v>
      </c>
      <c r="D18" t="s">
        <v>52</v>
      </c>
      <c r="E18" t="s">
        <v>32</v>
      </c>
      <c r="F18" t="s">
        <v>16</v>
      </c>
      <c r="G18">
        <v>5000</v>
      </c>
      <c r="H18">
        <v>2500</v>
      </c>
      <c r="I18">
        <v>0</v>
      </c>
      <c r="J18">
        <v>200</v>
      </c>
      <c r="K18">
        <v>15</v>
      </c>
      <c r="L18" t="s">
        <v>25</v>
      </c>
    </row>
    <row r="19" spans="1:12" x14ac:dyDescent="0.3">
      <c r="A19" t="s">
        <v>53</v>
      </c>
      <c r="B19" t="s">
        <v>46</v>
      </c>
      <c r="C19" t="s">
        <v>30</v>
      </c>
      <c r="D19" t="s">
        <v>54</v>
      </c>
      <c r="E19" t="s">
        <v>15</v>
      </c>
      <c r="F19" t="s">
        <v>24</v>
      </c>
      <c r="G19">
        <v>3000</v>
      </c>
      <c r="H19">
        <v>3100</v>
      </c>
      <c r="I19">
        <v>0</v>
      </c>
      <c r="J19">
        <v>0</v>
      </c>
      <c r="K19">
        <v>0</v>
      </c>
      <c r="L19" t="s">
        <v>20</v>
      </c>
    </row>
    <row r="20" spans="1:12" x14ac:dyDescent="0.3">
      <c r="A20" t="s">
        <v>55</v>
      </c>
      <c r="B20" t="s">
        <v>46</v>
      </c>
      <c r="C20" t="s">
        <v>18</v>
      </c>
      <c r="D20" t="s">
        <v>56</v>
      </c>
      <c r="E20" t="s">
        <v>28</v>
      </c>
      <c r="F20" t="s">
        <v>24</v>
      </c>
      <c r="G20">
        <v>4000</v>
      </c>
      <c r="H20">
        <v>2000</v>
      </c>
      <c r="I20">
        <v>5000</v>
      </c>
      <c r="J20">
        <v>0</v>
      </c>
      <c r="K20">
        <v>0</v>
      </c>
      <c r="L20" t="s">
        <v>17</v>
      </c>
    </row>
    <row r="21" spans="1:12" x14ac:dyDescent="0.3">
      <c r="A21" t="s">
        <v>57</v>
      </c>
      <c r="B21" t="s">
        <v>46</v>
      </c>
      <c r="C21" t="s">
        <v>22</v>
      </c>
      <c r="D21" t="s">
        <v>58</v>
      </c>
      <c r="E21" t="s">
        <v>15</v>
      </c>
      <c r="F21" t="s">
        <v>24</v>
      </c>
      <c r="G21">
        <v>2000</v>
      </c>
      <c r="H21">
        <v>1900</v>
      </c>
      <c r="I21">
        <v>7500</v>
      </c>
      <c r="J21">
        <v>280</v>
      </c>
      <c r="K21">
        <v>30</v>
      </c>
      <c r="L21" t="s">
        <v>25</v>
      </c>
    </row>
    <row r="22" spans="1:12" x14ac:dyDescent="0.3">
      <c r="A22" s="1">
        <v>45326</v>
      </c>
      <c r="B22" t="s">
        <v>59</v>
      </c>
      <c r="C22" t="s">
        <v>13</v>
      </c>
      <c r="D22" t="s">
        <v>60</v>
      </c>
      <c r="E22" t="s">
        <v>15</v>
      </c>
      <c r="F22" t="s">
        <v>16</v>
      </c>
      <c r="G22">
        <v>7000</v>
      </c>
      <c r="H22">
        <v>6800</v>
      </c>
      <c r="I22">
        <v>20000</v>
      </c>
      <c r="J22">
        <v>500</v>
      </c>
      <c r="K22">
        <v>55</v>
      </c>
      <c r="L22" t="s">
        <v>17</v>
      </c>
    </row>
    <row r="23" spans="1:12" x14ac:dyDescent="0.3">
      <c r="A23" s="1">
        <v>45447</v>
      </c>
      <c r="B23" t="s">
        <v>59</v>
      </c>
      <c r="C23" t="s">
        <v>30</v>
      </c>
      <c r="D23" t="s">
        <v>61</v>
      </c>
      <c r="E23" t="s">
        <v>32</v>
      </c>
      <c r="F23" t="s">
        <v>16</v>
      </c>
      <c r="G23">
        <v>6000</v>
      </c>
      <c r="H23">
        <v>7000</v>
      </c>
      <c r="I23">
        <v>0</v>
      </c>
      <c r="J23">
        <v>0</v>
      </c>
      <c r="K23">
        <v>0</v>
      </c>
      <c r="L23" t="s">
        <v>17</v>
      </c>
    </row>
    <row r="24" spans="1:12" x14ac:dyDescent="0.3">
      <c r="A24" s="1">
        <v>45569</v>
      </c>
      <c r="B24" t="s">
        <v>59</v>
      </c>
      <c r="C24" t="s">
        <v>18</v>
      </c>
      <c r="D24" t="s">
        <v>62</v>
      </c>
      <c r="E24" t="s">
        <v>15</v>
      </c>
      <c r="F24" t="s">
        <v>16</v>
      </c>
      <c r="G24">
        <v>8500</v>
      </c>
      <c r="H24">
        <v>8000</v>
      </c>
      <c r="I24">
        <v>16000</v>
      </c>
      <c r="J24">
        <v>0</v>
      </c>
      <c r="K24">
        <v>0</v>
      </c>
      <c r="L24" t="s">
        <v>20</v>
      </c>
    </row>
    <row r="25" spans="1:12" x14ac:dyDescent="0.3">
      <c r="A25" t="s">
        <v>63</v>
      </c>
      <c r="B25" t="s">
        <v>59</v>
      </c>
      <c r="C25" t="s">
        <v>22</v>
      </c>
      <c r="D25" t="s">
        <v>64</v>
      </c>
      <c r="E25" t="s">
        <v>15</v>
      </c>
      <c r="F25" t="s">
        <v>16</v>
      </c>
      <c r="G25">
        <v>4000</v>
      </c>
      <c r="H25">
        <v>4200</v>
      </c>
      <c r="I25">
        <v>25000</v>
      </c>
      <c r="J25">
        <v>100</v>
      </c>
      <c r="K25">
        <v>12</v>
      </c>
      <c r="L25" t="s">
        <v>17</v>
      </c>
    </row>
    <row r="26" spans="1:12" x14ac:dyDescent="0.3">
      <c r="A26" t="s">
        <v>65</v>
      </c>
      <c r="B26" t="s">
        <v>59</v>
      </c>
      <c r="C26" t="s">
        <v>13</v>
      </c>
      <c r="D26" t="s">
        <v>66</v>
      </c>
      <c r="E26" t="s">
        <v>28</v>
      </c>
      <c r="F26" t="s">
        <v>24</v>
      </c>
      <c r="G26">
        <v>3000</v>
      </c>
      <c r="H26">
        <v>1500</v>
      </c>
      <c r="I26">
        <v>4000</v>
      </c>
      <c r="J26">
        <v>150</v>
      </c>
      <c r="K26">
        <v>14</v>
      </c>
      <c r="L26" t="s">
        <v>25</v>
      </c>
    </row>
    <row r="27" spans="1:12" x14ac:dyDescent="0.3">
      <c r="A27" t="s">
        <v>67</v>
      </c>
      <c r="B27" t="s">
        <v>59</v>
      </c>
      <c r="C27" t="s">
        <v>30</v>
      </c>
      <c r="D27" t="s">
        <v>68</v>
      </c>
      <c r="E27" t="s">
        <v>15</v>
      </c>
      <c r="F27" t="s">
        <v>16</v>
      </c>
      <c r="G27">
        <v>2000</v>
      </c>
      <c r="H27">
        <v>2000</v>
      </c>
      <c r="I27">
        <v>0</v>
      </c>
      <c r="J27">
        <v>0</v>
      </c>
      <c r="K27">
        <v>0</v>
      </c>
      <c r="L27" t="s">
        <v>17</v>
      </c>
    </row>
    <row r="28" spans="1:12" x14ac:dyDescent="0.3">
      <c r="A28" t="s">
        <v>69</v>
      </c>
      <c r="B28" t="s">
        <v>59</v>
      </c>
      <c r="C28" t="s">
        <v>22</v>
      </c>
      <c r="D28" t="s">
        <v>70</v>
      </c>
      <c r="E28" t="s">
        <v>15</v>
      </c>
      <c r="F28" t="s">
        <v>24</v>
      </c>
      <c r="G28">
        <v>2500</v>
      </c>
      <c r="H28">
        <v>2400</v>
      </c>
      <c r="I28">
        <v>12000</v>
      </c>
      <c r="J28">
        <v>200</v>
      </c>
      <c r="K28">
        <v>25</v>
      </c>
      <c r="L28" t="s">
        <v>17</v>
      </c>
    </row>
    <row r="29" spans="1:12" x14ac:dyDescent="0.3">
      <c r="A29" s="1">
        <v>45356</v>
      </c>
      <c r="B29" t="s">
        <v>71</v>
      </c>
      <c r="C29" t="s">
        <v>13</v>
      </c>
      <c r="D29" t="s">
        <v>72</v>
      </c>
      <c r="E29" t="s">
        <v>15</v>
      </c>
      <c r="F29" t="s">
        <v>16</v>
      </c>
      <c r="G29">
        <v>8000</v>
      </c>
      <c r="H29">
        <v>8500</v>
      </c>
      <c r="I29">
        <v>24000</v>
      </c>
      <c r="J29">
        <v>650</v>
      </c>
      <c r="K29">
        <v>75</v>
      </c>
      <c r="L29" t="s">
        <v>17</v>
      </c>
    </row>
    <row r="30" spans="1:12" x14ac:dyDescent="0.3">
      <c r="A30" s="1">
        <v>45448</v>
      </c>
      <c r="B30" t="s">
        <v>71</v>
      </c>
      <c r="C30" t="s">
        <v>30</v>
      </c>
      <c r="D30" t="s">
        <v>73</v>
      </c>
      <c r="E30" t="s">
        <v>32</v>
      </c>
      <c r="F30" t="s">
        <v>24</v>
      </c>
      <c r="G30">
        <v>1500</v>
      </c>
      <c r="H30">
        <v>1000</v>
      </c>
      <c r="I30">
        <v>0</v>
      </c>
      <c r="J30">
        <v>0</v>
      </c>
      <c r="K30">
        <v>0</v>
      </c>
      <c r="L30" t="s">
        <v>25</v>
      </c>
    </row>
    <row r="31" spans="1:12" x14ac:dyDescent="0.3">
      <c r="A31" s="1">
        <v>45570</v>
      </c>
      <c r="B31" t="s">
        <v>71</v>
      </c>
      <c r="C31" t="s">
        <v>18</v>
      </c>
      <c r="D31" t="s">
        <v>74</v>
      </c>
      <c r="E31" t="s">
        <v>28</v>
      </c>
      <c r="F31" t="s">
        <v>16</v>
      </c>
      <c r="G31">
        <v>12000</v>
      </c>
      <c r="H31">
        <v>6000</v>
      </c>
      <c r="I31">
        <v>0</v>
      </c>
      <c r="J31">
        <v>0</v>
      </c>
      <c r="K31">
        <v>0</v>
      </c>
      <c r="L31" t="s">
        <v>17</v>
      </c>
    </row>
    <row r="32" spans="1:12" x14ac:dyDescent="0.3">
      <c r="A32" t="s">
        <v>75</v>
      </c>
      <c r="B32" t="s">
        <v>71</v>
      </c>
      <c r="C32" t="s">
        <v>22</v>
      </c>
      <c r="D32" t="s">
        <v>76</v>
      </c>
      <c r="E32" t="s">
        <v>15</v>
      </c>
      <c r="F32" t="s">
        <v>16</v>
      </c>
      <c r="G32">
        <v>3500</v>
      </c>
      <c r="H32">
        <v>3500</v>
      </c>
      <c r="I32">
        <v>18000</v>
      </c>
      <c r="J32">
        <v>450</v>
      </c>
      <c r="K32">
        <v>50</v>
      </c>
      <c r="L32" t="s">
        <v>20</v>
      </c>
    </row>
    <row r="33" spans="1:12" x14ac:dyDescent="0.3">
      <c r="A33" t="s">
        <v>77</v>
      </c>
      <c r="B33" t="s">
        <v>71</v>
      </c>
      <c r="C33" t="s">
        <v>13</v>
      </c>
      <c r="D33" t="s">
        <v>78</v>
      </c>
      <c r="E33" t="s">
        <v>15</v>
      </c>
      <c r="F33" t="s">
        <v>24</v>
      </c>
      <c r="G33">
        <v>2000</v>
      </c>
      <c r="H33">
        <v>1800</v>
      </c>
      <c r="I33">
        <v>6000</v>
      </c>
      <c r="J33">
        <v>250</v>
      </c>
      <c r="K33">
        <v>22</v>
      </c>
      <c r="L33" t="s">
        <v>17</v>
      </c>
    </row>
    <row r="34" spans="1:12" x14ac:dyDescent="0.3">
      <c r="A34" t="s">
        <v>79</v>
      </c>
      <c r="B34" t="s">
        <v>71</v>
      </c>
      <c r="C34" t="s">
        <v>30</v>
      </c>
      <c r="D34" t="s">
        <v>80</v>
      </c>
      <c r="E34" t="s">
        <v>15</v>
      </c>
      <c r="F34" t="s">
        <v>81</v>
      </c>
      <c r="G34">
        <v>5000</v>
      </c>
      <c r="H34">
        <v>5500</v>
      </c>
      <c r="I34">
        <v>0</v>
      </c>
      <c r="J34">
        <v>0</v>
      </c>
      <c r="K34">
        <v>0</v>
      </c>
      <c r="L34" t="s">
        <v>17</v>
      </c>
    </row>
    <row r="35" spans="1:12" x14ac:dyDescent="0.3">
      <c r="A35" t="s">
        <v>82</v>
      </c>
      <c r="B35" t="s">
        <v>71</v>
      </c>
      <c r="C35" t="s">
        <v>22</v>
      </c>
      <c r="D35" t="s">
        <v>83</v>
      </c>
      <c r="E35" t="s">
        <v>32</v>
      </c>
      <c r="F35" t="s">
        <v>16</v>
      </c>
      <c r="G35">
        <v>4000</v>
      </c>
      <c r="H35">
        <v>2000</v>
      </c>
      <c r="I35">
        <v>0</v>
      </c>
      <c r="J35">
        <v>0</v>
      </c>
      <c r="K35">
        <v>0</v>
      </c>
      <c r="L35" t="s">
        <v>17</v>
      </c>
    </row>
    <row r="36" spans="1:12" x14ac:dyDescent="0.3">
      <c r="A36" s="1">
        <v>45328</v>
      </c>
      <c r="B36" t="s">
        <v>84</v>
      </c>
      <c r="C36" t="s">
        <v>13</v>
      </c>
      <c r="D36" t="s">
        <v>85</v>
      </c>
      <c r="E36" t="s">
        <v>15</v>
      </c>
      <c r="F36" t="s">
        <v>16</v>
      </c>
      <c r="G36">
        <v>9000</v>
      </c>
      <c r="H36">
        <v>8800</v>
      </c>
      <c r="I36">
        <v>28000</v>
      </c>
      <c r="J36">
        <v>700</v>
      </c>
      <c r="K36">
        <v>85</v>
      </c>
      <c r="L36" t="s">
        <v>17</v>
      </c>
    </row>
    <row r="37" spans="1:12" x14ac:dyDescent="0.3">
      <c r="A37" s="1">
        <v>45418</v>
      </c>
      <c r="B37" t="s">
        <v>84</v>
      </c>
      <c r="C37" t="s">
        <v>30</v>
      </c>
      <c r="D37" t="s">
        <v>86</v>
      </c>
      <c r="E37" t="s">
        <v>15</v>
      </c>
      <c r="F37" t="s">
        <v>16</v>
      </c>
      <c r="G37">
        <v>2500</v>
      </c>
      <c r="H37">
        <v>2500</v>
      </c>
      <c r="I37">
        <v>0</v>
      </c>
      <c r="J37">
        <v>0</v>
      </c>
      <c r="K37">
        <v>0</v>
      </c>
      <c r="L37" t="s">
        <v>20</v>
      </c>
    </row>
    <row r="38" spans="1:12" x14ac:dyDescent="0.3">
      <c r="A38" s="1">
        <v>45541</v>
      </c>
      <c r="B38" t="s">
        <v>84</v>
      </c>
      <c r="C38" t="s">
        <v>18</v>
      </c>
      <c r="D38" t="s">
        <v>87</v>
      </c>
      <c r="E38" t="s">
        <v>15</v>
      </c>
      <c r="F38" t="s">
        <v>16</v>
      </c>
      <c r="G38">
        <v>10000</v>
      </c>
      <c r="H38">
        <v>10500</v>
      </c>
      <c r="I38">
        <v>30000</v>
      </c>
      <c r="J38">
        <v>0</v>
      </c>
      <c r="K38">
        <v>0</v>
      </c>
      <c r="L38" t="s">
        <v>17</v>
      </c>
    </row>
    <row r="39" spans="1:12" x14ac:dyDescent="0.3">
      <c r="A39" s="1">
        <v>45632</v>
      </c>
      <c r="B39" t="s">
        <v>84</v>
      </c>
      <c r="C39" t="s">
        <v>22</v>
      </c>
      <c r="D39" t="s">
        <v>88</v>
      </c>
      <c r="E39" t="s">
        <v>15</v>
      </c>
      <c r="F39" t="s">
        <v>16</v>
      </c>
      <c r="G39">
        <v>6000</v>
      </c>
      <c r="H39">
        <v>6000</v>
      </c>
      <c r="I39">
        <v>35000</v>
      </c>
      <c r="J39">
        <v>400</v>
      </c>
      <c r="K39">
        <v>45</v>
      </c>
      <c r="L39" t="s">
        <v>25</v>
      </c>
    </row>
    <row r="40" spans="1:12" x14ac:dyDescent="0.3">
      <c r="A40" t="s">
        <v>89</v>
      </c>
      <c r="B40" t="s">
        <v>84</v>
      </c>
      <c r="C40" t="s">
        <v>13</v>
      </c>
      <c r="D40" t="s">
        <v>90</v>
      </c>
      <c r="E40" t="s">
        <v>28</v>
      </c>
      <c r="F40" t="s">
        <v>24</v>
      </c>
      <c r="G40">
        <v>3000</v>
      </c>
      <c r="H40">
        <v>1500</v>
      </c>
      <c r="I40">
        <v>5000</v>
      </c>
      <c r="J40">
        <v>180</v>
      </c>
      <c r="K40">
        <v>15</v>
      </c>
      <c r="L40" t="s">
        <v>20</v>
      </c>
    </row>
    <row r="41" spans="1:12" x14ac:dyDescent="0.3">
      <c r="A41" t="s">
        <v>91</v>
      </c>
      <c r="B41" t="s">
        <v>84</v>
      </c>
      <c r="C41" t="s">
        <v>30</v>
      </c>
      <c r="D41" t="s">
        <v>92</v>
      </c>
      <c r="E41" t="s">
        <v>32</v>
      </c>
      <c r="F41" t="s">
        <v>16</v>
      </c>
      <c r="G41">
        <v>4000</v>
      </c>
      <c r="H41">
        <v>4200</v>
      </c>
      <c r="I41">
        <v>0</v>
      </c>
      <c r="J41">
        <v>0</v>
      </c>
      <c r="K41">
        <v>0</v>
      </c>
      <c r="L41" t="s">
        <v>17</v>
      </c>
    </row>
    <row r="42" spans="1:12" x14ac:dyDescent="0.3">
      <c r="A42" t="s">
        <v>93</v>
      </c>
      <c r="B42" t="s">
        <v>84</v>
      </c>
      <c r="C42" t="s">
        <v>22</v>
      </c>
      <c r="D42" t="s">
        <v>94</v>
      </c>
      <c r="E42" t="s">
        <v>15</v>
      </c>
      <c r="F42" t="s">
        <v>16</v>
      </c>
      <c r="G42">
        <v>5000</v>
      </c>
      <c r="H42">
        <v>5500</v>
      </c>
      <c r="I42">
        <v>40000</v>
      </c>
      <c r="J42">
        <v>500</v>
      </c>
      <c r="K42">
        <v>60</v>
      </c>
      <c r="L42" t="s">
        <v>17</v>
      </c>
    </row>
    <row r="43" spans="1:12" x14ac:dyDescent="0.3">
      <c r="A43" s="1">
        <v>45389</v>
      </c>
      <c r="B43" t="s">
        <v>95</v>
      </c>
      <c r="C43" t="s">
        <v>13</v>
      </c>
      <c r="D43" t="s">
        <v>96</v>
      </c>
      <c r="E43" t="s">
        <v>15</v>
      </c>
      <c r="F43" t="s">
        <v>24</v>
      </c>
      <c r="G43">
        <v>3000</v>
      </c>
      <c r="H43">
        <v>2800</v>
      </c>
      <c r="I43">
        <v>8000</v>
      </c>
      <c r="J43">
        <v>350</v>
      </c>
      <c r="K43">
        <v>30</v>
      </c>
      <c r="L43" t="s">
        <v>17</v>
      </c>
    </row>
    <row r="44" spans="1:12" x14ac:dyDescent="0.3">
      <c r="A44" s="1">
        <v>45511</v>
      </c>
      <c r="B44" t="s">
        <v>95</v>
      </c>
      <c r="C44" t="s">
        <v>30</v>
      </c>
      <c r="D44" t="s">
        <v>97</v>
      </c>
      <c r="E44" t="s">
        <v>28</v>
      </c>
      <c r="F44" t="s">
        <v>16</v>
      </c>
      <c r="G44">
        <v>15000</v>
      </c>
      <c r="H44">
        <v>8000</v>
      </c>
      <c r="I44">
        <v>0</v>
      </c>
      <c r="J44">
        <v>0</v>
      </c>
      <c r="K44">
        <v>0</v>
      </c>
      <c r="L44" t="s">
        <v>20</v>
      </c>
    </row>
    <row r="45" spans="1:12" x14ac:dyDescent="0.3">
      <c r="A45" s="1">
        <v>45633</v>
      </c>
      <c r="B45" t="s">
        <v>95</v>
      </c>
      <c r="C45" t="s">
        <v>18</v>
      </c>
      <c r="D45" t="s">
        <v>98</v>
      </c>
      <c r="E45" t="s">
        <v>15</v>
      </c>
      <c r="F45" t="s">
        <v>16</v>
      </c>
      <c r="G45">
        <v>6000</v>
      </c>
      <c r="H45">
        <v>6200</v>
      </c>
      <c r="I45">
        <v>12000</v>
      </c>
      <c r="J45">
        <v>0</v>
      </c>
      <c r="K45">
        <v>0</v>
      </c>
      <c r="L45" t="s">
        <v>25</v>
      </c>
    </row>
    <row r="46" spans="1:12" x14ac:dyDescent="0.3">
      <c r="A46" t="s">
        <v>99</v>
      </c>
      <c r="B46" t="s">
        <v>95</v>
      </c>
      <c r="C46" t="s">
        <v>22</v>
      </c>
      <c r="D46" t="s">
        <v>100</v>
      </c>
      <c r="E46" t="s">
        <v>15</v>
      </c>
      <c r="F46" t="s">
        <v>24</v>
      </c>
      <c r="G46">
        <v>2000</v>
      </c>
      <c r="H46">
        <v>2500</v>
      </c>
      <c r="I46">
        <v>15000</v>
      </c>
      <c r="J46">
        <v>400</v>
      </c>
      <c r="K46">
        <v>48</v>
      </c>
      <c r="L46" t="s">
        <v>17</v>
      </c>
    </row>
    <row r="47" spans="1:12" x14ac:dyDescent="0.3">
      <c r="A47" t="s">
        <v>101</v>
      </c>
      <c r="B47" t="s">
        <v>95</v>
      </c>
      <c r="C47" t="s">
        <v>13</v>
      </c>
      <c r="D47" t="s">
        <v>102</v>
      </c>
      <c r="E47" t="s">
        <v>32</v>
      </c>
      <c r="F47" t="s">
        <v>16</v>
      </c>
      <c r="G47">
        <v>4500</v>
      </c>
      <c r="H47">
        <v>2000</v>
      </c>
      <c r="I47">
        <v>0</v>
      </c>
      <c r="J47">
        <v>0</v>
      </c>
      <c r="K47">
        <v>0</v>
      </c>
      <c r="L47" t="s">
        <v>20</v>
      </c>
    </row>
    <row r="48" spans="1:12" x14ac:dyDescent="0.3">
      <c r="A48" t="s">
        <v>103</v>
      </c>
      <c r="B48" t="s">
        <v>95</v>
      </c>
      <c r="C48" t="s">
        <v>30</v>
      </c>
      <c r="D48" t="s">
        <v>104</v>
      </c>
      <c r="E48" t="s">
        <v>15</v>
      </c>
      <c r="F48" t="s">
        <v>24</v>
      </c>
      <c r="G48">
        <v>2500</v>
      </c>
      <c r="H48">
        <v>2400</v>
      </c>
      <c r="I48">
        <v>0</v>
      </c>
      <c r="J48">
        <v>0</v>
      </c>
      <c r="K48">
        <v>0</v>
      </c>
      <c r="L48" t="s">
        <v>17</v>
      </c>
    </row>
    <row r="49" spans="1:12" x14ac:dyDescent="0.3">
      <c r="A49" t="s">
        <v>105</v>
      </c>
      <c r="B49" t="s">
        <v>95</v>
      </c>
      <c r="C49" t="s">
        <v>22</v>
      </c>
      <c r="D49" t="s">
        <v>106</v>
      </c>
      <c r="E49" t="s">
        <v>15</v>
      </c>
      <c r="F49" t="s">
        <v>81</v>
      </c>
      <c r="G49">
        <v>1500</v>
      </c>
      <c r="H49">
        <v>1500</v>
      </c>
      <c r="I49">
        <v>4000</v>
      </c>
      <c r="J49">
        <v>120</v>
      </c>
      <c r="K49">
        <v>10</v>
      </c>
      <c r="L49" t="s">
        <v>17</v>
      </c>
    </row>
    <row r="50" spans="1:12" x14ac:dyDescent="0.3">
      <c r="A50" s="1">
        <v>45359</v>
      </c>
      <c r="B50" t="s">
        <v>107</v>
      </c>
      <c r="C50" t="s">
        <v>13</v>
      </c>
      <c r="D50" t="s">
        <v>108</v>
      </c>
      <c r="E50" t="s">
        <v>15</v>
      </c>
      <c r="F50" t="s">
        <v>16</v>
      </c>
      <c r="G50">
        <v>6500</v>
      </c>
      <c r="H50">
        <v>6700</v>
      </c>
      <c r="I50">
        <v>22000</v>
      </c>
      <c r="J50">
        <v>580</v>
      </c>
      <c r="K50">
        <v>62</v>
      </c>
      <c r="L50" t="s">
        <v>20</v>
      </c>
    </row>
    <row r="51" spans="1:12" x14ac:dyDescent="0.3">
      <c r="A51" s="1">
        <v>45481</v>
      </c>
      <c r="B51" t="s">
        <v>107</v>
      </c>
      <c r="C51" t="s">
        <v>18</v>
      </c>
      <c r="D51" t="s">
        <v>109</v>
      </c>
      <c r="E51" t="s">
        <v>28</v>
      </c>
      <c r="F51" t="s">
        <v>16</v>
      </c>
      <c r="G51">
        <v>9000</v>
      </c>
      <c r="H51">
        <v>4500</v>
      </c>
      <c r="I51">
        <v>0</v>
      </c>
      <c r="J51">
        <v>0</v>
      </c>
      <c r="K51">
        <v>0</v>
      </c>
      <c r="L51" t="s">
        <v>17</v>
      </c>
    </row>
    <row r="52" spans="1:12" x14ac:dyDescent="0.3">
      <c r="A52" s="1">
        <v>45604</v>
      </c>
      <c r="B52" t="s">
        <v>107</v>
      </c>
      <c r="C52" t="s">
        <v>22</v>
      </c>
      <c r="D52" t="s">
        <v>110</v>
      </c>
      <c r="E52" t="s">
        <v>15</v>
      </c>
      <c r="F52" t="s">
        <v>24</v>
      </c>
      <c r="G52">
        <v>3000</v>
      </c>
      <c r="H52">
        <v>2800</v>
      </c>
      <c r="I52">
        <v>10000</v>
      </c>
      <c r="J52">
        <v>250</v>
      </c>
      <c r="K52">
        <v>22</v>
      </c>
      <c r="L52" t="s">
        <v>25</v>
      </c>
    </row>
    <row r="53" spans="1:12" x14ac:dyDescent="0.3">
      <c r="A53" t="s">
        <v>111</v>
      </c>
      <c r="B53" t="s">
        <v>107</v>
      </c>
      <c r="C53" t="s">
        <v>30</v>
      </c>
      <c r="D53" t="s">
        <v>112</v>
      </c>
      <c r="E53" t="s">
        <v>15</v>
      </c>
      <c r="F53" t="s">
        <v>81</v>
      </c>
      <c r="G53">
        <v>1000</v>
      </c>
      <c r="H53">
        <v>900</v>
      </c>
      <c r="I53">
        <v>0</v>
      </c>
      <c r="J53">
        <v>0</v>
      </c>
      <c r="K53">
        <v>0</v>
      </c>
      <c r="L53" t="s">
        <v>17</v>
      </c>
    </row>
    <row r="54" spans="1:12" x14ac:dyDescent="0.3">
      <c r="A54" t="s">
        <v>113</v>
      </c>
      <c r="B54" t="s">
        <v>107</v>
      </c>
      <c r="C54" t="s">
        <v>13</v>
      </c>
      <c r="D54" t="s">
        <v>114</v>
      </c>
      <c r="E54" t="s">
        <v>15</v>
      </c>
      <c r="F54" t="s">
        <v>24</v>
      </c>
      <c r="G54">
        <v>2500</v>
      </c>
      <c r="H54">
        <v>2400</v>
      </c>
      <c r="I54">
        <v>7000</v>
      </c>
      <c r="J54">
        <v>200</v>
      </c>
      <c r="K54">
        <v>18</v>
      </c>
      <c r="L54" t="s">
        <v>20</v>
      </c>
    </row>
    <row r="55" spans="1:12" x14ac:dyDescent="0.3">
      <c r="A55" t="s">
        <v>115</v>
      </c>
      <c r="B55" t="s">
        <v>107</v>
      </c>
      <c r="C55" t="s">
        <v>18</v>
      </c>
      <c r="D55" t="s">
        <v>116</v>
      </c>
      <c r="E55" t="s">
        <v>32</v>
      </c>
      <c r="F55" t="s">
        <v>16</v>
      </c>
      <c r="G55">
        <v>7500</v>
      </c>
      <c r="H55">
        <v>8000</v>
      </c>
      <c r="I55">
        <v>0</v>
      </c>
      <c r="J55">
        <v>0</v>
      </c>
      <c r="K55">
        <v>0</v>
      </c>
      <c r="L55" t="s">
        <v>17</v>
      </c>
    </row>
    <row r="56" spans="1:12" x14ac:dyDescent="0.3">
      <c r="A56" t="s">
        <v>117</v>
      </c>
      <c r="B56" t="s">
        <v>107</v>
      </c>
      <c r="C56" t="s">
        <v>22</v>
      </c>
      <c r="D56" t="s">
        <v>118</v>
      </c>
      <c r="E56" t="s">
        <v>15</v>
      </c>
      <c r="F56" t="s">
        <v>16</v>
      </c>
      <c r="G56">
        <v>4000</v>
      </c>
      <c r="H56">
        <v>4200</v>
      </c>
      <c r="I56">
        <v>16000</v>
      </c>
      <c r="J56">
        <v>320</v>
      </c>
      <c r="K56">
        <v>35</v>
      </c>
      <c r="L56" t="s">
        <v>17</v>
      </c>
    </row>
    <row r="57" spans="1:12" x14ac:dyDescent="0.3">
      <c r="A57" s="1">
        <v>45331</v>
      </c>
      <c r="B57" t="s">
        <v>119</v>
      </c>
      <c r="C57" t="s">
        <v>13</v>
      </c>
      <c r="D57" t="s">
        <v>120</v>
      </c>
      <c r="E57" t="s">
        <v>15</v>
      </c>
      <c r="F57" t="s">
        <v>16</v>
      </c>
      <c r="G57">
        <v>5500</v>
      </c>
      <c r="H57">
        <v>5200</v>
      </c>
      <c r="I57">
        <v>19000</v>
      </c>
      <c r="J57">
        <v>480</v>
      </c>
      <c r="K57">
        <v>50</v>
      </c>
      <c r="L57" t="s">
        <v>25</v>
      </c>
    </row>
    <row r="58" spans="1:12" x14ac:dyDescent="0.3">
      <c r="A58" s="1">
        <v>45452</v>
      </c>
      <c r="B58" t="s">
        <v>119</v>
      </c>
      <c r="C58" t="s">
        <v>30</v>
      </c>
      <c r="D58" t="s">
        <v>121</v>
      </c>
      <c r="E58" t="s">
        <v>15</v>
      </c>
      <c r="F58" t="s">
        <v>24</v>
      </c>
      <c r="G58">
        <v>3500</v>
      </c>
      <c r="H58">
        <v>3500</v>
      </c>
      <c r="I58">
        <v>0</v>
      </c>
      <c r="J58">
        <v>0</v>
      </c>
      <c r="K58">
        <v>0</v>
      </c>
      <c r="L58" t="s">
        <v>17</v>
      </c>
    </row>
    <row r="59" spans="1:12" x14ac:dyDescent="0.3">
      <c r="A59" s="1">
        <v>45574</v>
      </c>
      <c r="B59" t="s">
        <v>119</v>
      </c>
      <c r="C59" t="s">
        <v>18</v>
      </c>
      <c r="D59" t="s">
        <v>122</v>
      </c>
      <c r="E59" t="s">
        <v>15</v>
      </c>
      <c r="F59" t="s">
        <v>16</v>
      </c>
      <c r="G59">
        <v>11000</v>
      </c>
      <c r="H59">
        <v>11500</v>
      </c>
      <c r="I59">
        <v>25000</v>
      </c>
      <c r="J59">
        <v>0</v>
      </c>
      <c r="K59">
        <v>0</v>
      </c>
      <c r="L59" t="s">
        <v>20</v>
      </c>
    </row>
    <row r="60" spans="1:12" x14ac:dyDescent="0.3">
      <c r="A60" t="s">
        <v>123</v>
      </c>
      <c r="B60" t="s">
        <v>119</v>
      </c>
      <c r="C60" t="s">
        <v>22</v>
      </c>
      <c r="D60" t="s">
        <v>124</v>
      </c>
      <c r="E60" t="s">
        <v>28</v>
      </c>
      <c r="F60" t="s">
        <v>16</v>
      </c>
      <c r="G60">
        <v>6000</v>
      </c>
      <c r="H60">
        <v>3000</v>
      </c>
      <c r="I60">
        <v>12000</v>
      </c>
      <c r="J60">
        <v>150</v>
      </c>
      <c r="K60">
        <v>15</v>
      </c>
      <c r="L60" t="s">
        <v>17</v>
      </c>
    </row>
    <row r="61" spans="1:12" x14ac:dyDescent="0.3">
      <c r="A61" t="s">
        <v>125</v>
      </c>
      <c r="B61" t="s">
        <v>119</v>
      </c>
      <c r="C61" t="s">
        <v>13</v>
      </c>
      <c r="D61" t="s">
        <v>126</v>
      </c>
      <c r="E61" t="s">
        <v>32</v>
      </c>
      <c r="F61" t="s">
        <v>24</v>
      </c>
      <c r="G61">
        <v>4000</v>
      </c>
      <c r="H61">
        <v>1500</v>
      </c>
      <c r="I61">
        <v>0</v>
      </c>
      <c r="J61">
        <v>0</v>
      </c>
      <c r="K61">
        <v>0</v>
      </c>
      <c r="L61" t="s">
        <v>17</v>
      </c>
    </row>
    <row r="62" spans="1:12" x14ac:dyDescent="0.3">
      <c r="A62" t="s">
        <v>127</v>
      </c>
      <c r="B62" t="s">
        <v>119</v>
      </c>
      <c r="C62" t="s">
        <v>30</v>
      </c>
      <c r="D62" t="s">
        <v>128</v>
      </c>
      <c r="E62" t="s">
        <v>15</v>
      </c>
      <c r="F62" t="s">
        <v>16</v>
      </c>
      <c r="G62">
        <v>5000</v>
      </c>
      <c r="H62">
        <v>5000</v>
      </c>
      <c r="I62">
        <v>0</v>
      </c>
      <c r="J62">
        <v>0</v>
      </c>
      <c r="K62">
        <v>0</v>
      </c>
      <c r="L62" t="s">
        <v>20</v>
      </c>
    </row>
    <row r="63" spans="1:12" x14ac:dyDescent="0.3">
      <c r="A63" t="s">
        <v>129</v>
      </c>
      <c r="B63" t="s">
        <v>119</v>
      </c>
      <c r="C63" t="s">
        <v>22</v>
      </c>
      <c r="D63" t="s">
        <v>130</v>
      </c>
      <c r="E63" t="s">
        <v>15</v>
      </c>
      <c r="F63" t="s">
        <v>16</v>
      </c>
      <c r="G63">
        <v>7000</v>
      </c>
      <c r="H63">
        <v>7500</v>
      </c>
      <c r="I63">
        <v>32000</v>
      </c>
      <c r="J63">
        <v>500</v>
      </c>
      <c r="K63">
        <v>58</v>
      </c>
      <c r="L63" t="s">
        <v>17</v>
      </c>
    </row>
    <row r="64" spans="1:12" x14ac:dyDescent="0.3">
      <c r="A64" s="1">
        <v>45361</v>
      </c>
      <c r="B64" t="s">
        <v>131</v>
      </c>
      <c r="C64" t="s">
        <v>13</v>
      </c>
      <c r="D64" t="s">
        <v>132</v>
      </c>
      <c r="E64" t="s">
        <v>15</v>
      </c>
      <c r="F64" t="s">
        <v>16</v>
      </c>
      <c r="G64">
        <v>8000</v>
      </c>
      <c r="H64">
        <v>8100</v>
      </c>
      <c r="I64">
        <v>24000</v>
      </c>
      <c r="J64">
        <v>600</v>
      </c>
      <c r="K64">
        <v>65</v>
      </c>
      <c r="L64" t="s">
        <v>17</v>
      </c>
    </row>
    <row r="65" spans="1:12" x14ac:dyDescent="0.3">
      <c r="A65" s="1">
        <v>45514</v>
      </c>
      <c r="B65" t="s">
        <v>131</v>
      </c>
      <c r="C65" t="s">
        <v>18</v>
      </c>
      <c r="D65" t="s">
        <v>133</v>
      </c>
      <c r="E65" t="s">
        <v>28</v>
      </c>
      <c r="F65" t="s">
        <v>24</v>
      </c>
      <c r="G65">
        <v>5000</v>
      </c>
      <c r="H65">
        <v>2500</v>
      </c>
      <c r="I65">
        <v>0</v>
      </c>
      <c r="J65">
        <v>0</v>
      </c>
      <c r="K65">
        <v>0</v>
      </c>
      <c r="L65" t="s">
        <v>25</v>
      </c>
    </row>
    <row r="66" spans="1:12" x14ac:dyDescent="0.3">
      <c r="A66" s="1">
        <v>45636</v>
      </c>
      <c r="B66" t="s">
        <v>131</v>
      </c>
      <c r="C66" t="s">
        <v>22</v>
      </c>
      <c r="D66" t="s">
        <v>134</v>
      </c>
      <c r="E66" t="s">
        <v>15</v>
      </c>
      <c r="F66" t="s">
        <v>16</v>
      </c>
      <c r="G66">
        <v>3000</v>
      </c>
      <c r="H66">
        <v>2800</v>
      </c>
      <c r="I66">
        <v>40000</v>
      </c>
      <c r="J66">
        <v>50</v>
      </c>
      <c r="K66">
        <v>45</v>
      </c>
      <c r="L66" t="s">
        <v>20</v>
      </c>
    </row>
    <row r="67" spans="1:12" x14ac:dyDescent="0.3">
      <c r="A67" t="s">
        <v>135</v>
      </c>
      <c r="B67" t="s">
        <v>131</v>
      </c>
      <c r="C67" t="s">
        <v>30</v>
      </c>
      <c r="D67" t="s">
        <v>136</v>
      </c>
      <c r="E67" t="s">
        <v>15</v>
      </c>
      <c r="F67" t="s">
        <v>16</v>
      </c>
      <c r="G67">
        <v>2500</v>
      </c>
      <c r="H67">
        <v>2500</v>
      </c>
      <c r="I67">
        <v>0</v>
      </c>
      <c r="J67">
        <v>0</v>
      </c>
      <c r="K67">
        <v>0</v>
      </c>
      <c r="L67" t="s">
        <v>17</v>
      </c>
    </row>
    <row r="68" spans="1:12" x14ac:dyDescent="0.3">
      <c r="A68" t="s">
        <v>137</v>
      </c>
      <c r="B68" t="s">
        <v>131</v>
      </c>
      <c r="C68" t="s">
        <v>13</v>
      </c>
      <c r="D68" t="s">
        <v>138</v>
      </c>
      <c r="E68" t="s">
        <v>15</v>
      </c>
      <c r="F68" t="s">
        <v>24</v>
      </c>
      <c r="G68">
        <v>4000</v>
      </c>
      <c r="H68">
        <v>4200</v>
      </c>
      <c r="I68">
        <v>11000</v>
      </c>
      <c r="J68">
        <v>300</v>
      </c>
      <c r="K68">
        <v>28</v>
      </c>
      <c r="L68" t="s">
        <v>17</v>
      </c>
    </row>
    <row r="69" spans="1:12" x14ac:dyDescent="0.3">
      <c r="A69" t="s">
        <v>139</v>
      </c>
      <c r="B69" t="s">
        <v>131</v>
      </c>
      <c r="C69" t="s">
        <v>18</v>
      </c>
      <c r="D69" t="s">
        <v>140</v>
      </c>
      <c r="E69" t="s">
        <v>15</v>
      </c>
      <c r="F69" t="s">
        <v>81</v>
      </c>
      <c r="G69">
        <v>1500</v>
      </c>
      <c r="H69">
        <v>1400</v>
      </c>
      <c r="I69">
        <v>0</v>
      </c>
      <c r="J69">
        <v>0</v>
      </c>
      <c r="K69">
        <v>0</v>
      </c>
      <c r="L69" t="s">
        <v>20</v>
      </c>
    </row>
    <row r="70" spans="1:12" x14ac:dyDescent="0.3">
      <c r="A70" t="s">
        <v>141</v>
      </c>
      <c r="B70" t="s">
        <v>131</v>
      </c>
      <c r="C70" t="s">
        <v>22</v>
      </c>
      <c r="D70" t="s">
        <v>142</v>
      </c>
      <c r="E70" t="s">
        <v>32</v>
      </c>
      <c r="F70" t="s">
        <v>24</v>
      </c>
      <c r="G70">
        <v>2000</v>
      </c>
      <c r="H70">
        <v>1000</v>
      </c>
      <c r="I70">
        <v>0</v>
      </c>
      <c r="J70">
        <v>0</v>
      </c>
      <c r="K70">
        <v>0</v>
      </c>
      <c r="L70" t="s">
        <v>17</v>
      </c>
    </row>
    <row r="71" spans="1:12" x14ac:dyDescent="0.3">
      <c r="A71" s="1">
        <v>45393</v>
      </c>
      <c r="B71" t="s">
        <v>143</v>
      </c>
      <c r="C71" t="s">
        <v>13</v>
      </c>
      <c r="D71" t="s">
        <v>144</v>
      </c>
      <c r="E71" t="s">
        <v>15</v>
      </c>
      <c r="F71" t="s">
        <v>16</v>
      </c>
      <c r="G71">
        <v>12000</v>
      </c>
      <c r="H71">
        <v>12500</v>
      </c>
      <c r="I71">
        <v>45000</v>
      </c>
      <c r="J71">
        <v>900</v>
      </c>
      <c r="K71">
        <v>110</v>
      </c>
      <c r="L71" t="s">
        <v>17</v>
      </c>
    </row>
    <row r="72" spans="1:12" x14ac:dyDescent="0.3">
      <c r="A72" s="1">
        <v>45515</v>
      </c>
      <c r="B72" t="s">
        <v>143</v>
      </c>
      <c r="C72" t="s">
        <v>30</v>
      </c>
      <c r="D72" t="s">
        <v>145</v>
      </c>
      <c r="E72" t="s">
        <v>28</v>
      </c>
      <c r="F72" t="s">
        <v>24</v>
      </c>
      <c r="G72">
        <v>2000</v>
      </c>
      <c r="H72">
        <v>1000</v>
      </c>
      <c r="I72">
        <v>0</v>
      </c>
      <c r="J72">
        <v>0</v>
      </c>
      <c r="K72">
        <v>0</v>
      </c>
      <c r="L72" t="s">
        <v>20</v>
      </c>
    </row>
    <row r="73" spans="1:12" x14ac:dyDescent="0.3">
      <c r="A73" s="1">
        <v>45637</v>
      </c>
      <c r="B73" t="s">
        <v>143</v>
      </c>
      <c r="C73" t="s">
        <v>18</v>
      </c>
      <c r="D73" t="s">
        <v>146</v>
      </c>
      <c r="E73" t="s">
        <v>15</v>
      </c>
      <c r="F73" t="s">
        <v>16</v>
      </c>
      <c r="G73">
        <v>4000</v>
      </c>
      <c r="H73">
        <v>4000</v>
      </c>
      <c r="I73">
        <v>0</v>
      </c>
      <c r="J73">
        <v>0</v>
      </c>
      <c r="K73">
        <v>0</v>
      </c>
      <c r="L73" t="s">
        <v>17</v>
      </c>
    </row>
    <row r="74" spans="1:12" x14ac:dyDescent="0.3">
      <c r="A74" t="s">
        <v>147</v>
      </c>
      <c r="B74" t="s">
        <v>143</v>
      </c>
      <c r="C74" t="s">
        <v>22</v>
      </c>
      <c r="D74" t="s">
        <v>70</v>
      </c>
      <c r="E74" t="s">
        <v>15</v>
      </c>
      <c r="F74" t="s">
        <v>16</v>
      </c>
      <c r="G74">
        <v>3500</v>
      </c>
      <c r="H74">
        <v>3200</v>
      </c>
      <c r="I74">
        <v>22000</v>
      </c>
      <c r="J74">
        <v>200</v>
      </c>
      <c r="K74">
        <v>30</v>
      </c>
      <c r="L74" t="s">
        <v>25</v>
      </c>
    </row>
    <row r="75" spans="1:12" x14ac:dyDescent="0.3">
      <c r="A75" t="s">
        <v>148</v>
      </c>
      <c r="B75" t="s">
        <v>143</v>
      </c>
      <c r="C75" t="s">
        <v>13</v>
      </c>
      <c r="D75" t="s">
        <v>149</v>
      </c>
      <c r="E75" t="s">
        <v>15</v>
      </c>
      <c r="F75" t="s">
        <v>24</v>
      </c>
      <c r="G75">
        <v>3000</v>
      </c>
      <c r="H75">
        <v>3100</v>
      </c>
      <c r="I75">
        <v>9000</v>
      </c>
      <c r="J75">
        <v>250</v>
      </c>
      <c r="K75">
        <v>25</v>
      </c>
      <c r="L75" t="s">
        <v>17</v>
      </c>
    </row>
    <row r="76" spans="1:12" x14ac:dyDescent="0.3">
      <c r="A76" t="s">
        <v>150</v>
      </c>
      <c r="B76" t="s">
        <v>143</v>
      </c>
      <c r="C76" t="s">
        <v>30</v>
      </c>
      <c r="D76" t="s">
        <v>151</v>
      </c>
      <c r="E76" t="s">
        <v>32</v>
      </c>
      <c r="F76" t="s">
        <v>16</v>
      </c>
      <c r="G76">
        <v>3000</v>
      </c>
      <c r="H76">
        <v>4000</v>
      </c>
      <c r="I76">
        <v>0</v>
      </c>
      <c r="J76">
        <v>0</v>
      </c>
      <c r="K76">
        <v>0</v>
      </c>
      <c r="L76" t="s">
        <v>17</v>
      </c>
    </row>
    <row r="77" spans="1:12" x14ac:dyDescent="0.3">
      <c r="A77" t="s">
        <v>152</v>
      </c>
      <c r="B77" t="s">
        <v>143</v>
      </c>
      <c r="C77" t="s">
        <v>22</v>
      </c>
      <c r="D77" t="s">
        <v>153</v>
      </c>
      <c r="E77" t="s">
        <v>15</v>
      </c>
      <c r="F77" t="s">
        <v>16</v>
      </c>
      <c r="G77">
        <v>5000</v>
      </c>
      <c r="H77">
        <v>5500</v>
      </c>
      <c r="I77">
        <v>35000</v>
      </c>
      <c r="J77">
        <v>600</v>
      </c>
      <c r="K77">
        <v>75</v>
      </c>
      <c r="L77" t="s">
        <v>20</v>
      </c>
    </row>
    <row r="78" spans="1:12" x14ac:dyDescent="0.3">
      <c r="A78" s="1">
        <v>45363</v>
      </c>
      <c r="B78" t="s">
        <v>154</v>
      </c>
      <c r="C78" t="s">
        <v>13</v>
      </c>
      <c r="D78" t="s">
        <v>155</v>
      </c>
      <c r="E78" t="s">
        <v>15</v>
      </c>
      <c r="F78" t="s">
        <v>24</v>
      </c>
      <c r="G78">
        <v>4000</v>
      </c>
      <c r="H78">
        <v>3800</v>
      </c>
      <c r="I78">
        <v>12000</v>
      </c>
      <c r="J78">
        <v>350</v>
      </c>
      <c r="K78">
        <v>35</v>
      </c>
      <c r="L78" t="s">
        <v>17</v>
      </c>
    </row>
    <row r="79" spans="1:12" x14ac:dyDescent="0.3">
      <c r="A79" s="1">
        <v>45485</v>
      </c>
      <c r="B79" t="s">
        <v>154</v>
      </c>
      <c r="C79" t="s">
        <v>18</v>
      </c>
      <c r="D79" t="s">
        <v>156</v>
      </c>
      <c r="E79" t="s">
        <v>15</v>
      </c>
      <c r="F79" t="s">
        <v>16</v>
      </c>
      <c r="G79">
        <v>2000</v>
      </c>
      <c r="H79">
        <v>2000</v>
      </c>
      <c r="I79">
        <v>0</v>
      </c>
      <c r="J79">
        <v>0</v>
      </c>
      <c r="K79">
        <v>0</v>
      </c>
      <c r="L79" t="s">
        <v>17</v>
      </c>
    </row>
    <row r="80" spans="1:12" x14ac:dyDescent="0.3">
      <c r="A80" s="1">
        <v>45608</v>
      </c>
      <c r="B80" t="s">
        <v>154</v>
      </c>
      <c r="C80" t="s">
        <v>30</v>
      </c>
      <c r="D80" t="s">
        <v>157</v>
      </c>
      <c r="E80" t="s">
        <v>15</v>
      </c>
      <c r="F80" t="s">
        <v>81</v>
      </c>
      <c r="G80">
        <v>6000</v>
      </c>
      <c r="H80">
        <v>6500</v>
      </c>
      <c r="I80">
        <v>0</v>
      </c>
      <c r="J80">
        <v>0</v>
      </c>
      <c r="K80">
        <v>0</v>
      </c>
      <c r="L80" t="s">
        <v>25</v>
      </c>
    </row>
    <row r="81" spans="1:12" x14ac:dyDescent="0.3">
      <c r="A81" t="s">
        <v>158</v>
      </c>
      <c r="B81" t="s">
        <v>154</v>
      </c>
      <c r="C81" t="s">
        <v>22</v>
      </c>
      <c r="D81" t="s">
        <v>159</v>
      </c>
      <c r="E81" t="s">
        <v>28</v>
      </c>
      <c r="F81" t="s">
        <v>16</v>
      </c>
      <c r="G81">
        <v>4500</v>
      </c>
      <c r="H81">
        <v>4000</v>
      </c>
      <c r="I81">
        <v>38000</v>
      </c>
      <c r="J81">
        <v>150</v>
      </c>
      <c r="K81">
        <v>40</v>
      </c>
      <c r="L81" t="s">
        <v>20</v>
      </c>
    </row>
    <row r="82" spans="1:12" x14ac:dyDescent="0.3">
      <c r="A82" t="s">
        <v>160</v>
      </c>
      <c r="B82" t="s">
        <v>154</v>
      </c>
      <c r="C82" t="s">
        <v>13</v>
      </c>
      <c r="D82" t="s">
        <v>161</v>
      </c>
      <c r="E82" t="s">
        <v>15</v>
      </c>
      <c r="F82" t="s">
        <v>81</v>
      </c>
      <c r="G82">
        <v>2500</v>
      </c>
      <c r="H82">
        <v>2500</v>
      </c>
      <c r="I82">
        <v>5000</v>
      </c>
      <c r="J82">
        <v>180</v>
      </c>
      <c r="K82">
        <v>15</v>
      </c>
      <c r="L82" t="s">
        <v>17</v>
      </c>
    </row>
    <row r="83" spans="1:12" x14ac:dyDescent="0.3">
      <c r="A83" t="s">
        <v>162</v>
      </c>
      <c r="B83" t="s">
        <v>154</v>
      </c>
      <c r="C83" t="s">
        <v>18</v>
      </c>
      <c r="D83" t="s">
        <v>163</v>
      </c>
      <c r="E83" t="s">
        <v>15</v>
      </c>
      <c r="F83" t="s">
        <v>81</v>
      </c>
      <c r="G83">
        <v>1000</v>
      </c>
      <c r="H83">
        <v>1000</v>
      </c>
      <c r="I83">
        <v>0</v>
      </c>
      <c r="J83">
        <v>0</v>
      </c>
      <c r="K83">
        <v>0</v>
      </c>
      <c r="L83" t="s">
        <v>17</v>
      </c>
    </row>
    <row r="84" spans="1:12" x14ac:dyDescent="0.3">
      <c r="A84" t="s">
        <v>164</v>
      </c>
      <c r="B84" t="s">
        <v>154</v>
      </c>
      <c r="C84" t="s">
        <v>22</v>
      </c>
      <c r="D84" t="s">
        <v>165</v>
      </c>
      <c r="E84" t="s">
        <v>15</v>
      </c>
      <c r="F84" t="s">
        <v>16</v>
      </c>
      <c r="G84">
        <v>3000</v>
      </c>
      <c r="H84">
        <v>3200</v>
      </c>
      <c r="I84">
        <v>25000</v>
      </c>
      <c r="J84">
        <v>200</v>
      </c>
      <c r="K84">
        <v>30</v>
      </c>
      <c r="L84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345CA-CD1E-4D3D-9F27-5ECD3891C887}">
  <dimension ref="A1:J26"/>
  <sheetViews>
    <sheetView topLeftCell="A19" workbookViewId="0">
      <selection activeCell="E19" sqref="E19"/>
    </sheetView>
  </sheetViews>
  <sheetFormatPr defaultRowHeight="14.4" x14ac:dyDescent="0.3"/>
  <cols>
    <col min="1" max="1" width="19.44140625" customWidth="1"/>
    <col min="2" max="2" width="13.5546875" bestFit="1" customWidth="1"/>
    <col min="3" max="3" width="17" bestFit="1" customWidth="1"/>
    <col min="4" max="4" width="21.77734375" customWidth="1"/>
    <col min="5" max="5" width="17" bestFit="1" customWidth="1"/>
    <col min="6" max="6" width="15.5546875" bestFit="1" customWidth="1"/>
    <col min="7" max="7" width="7.77734375" bestFit="1" customWidth="1"/>
    <col min="8" max="8" width="10.21875" bestFit="1" customWidth="1"/>
    <col min="9" max="9" width="7" bestFit="1" customWidth="1"/>
    <col min="10" max="10" width="10.77734375" bestFit="1" customWidth="1"/>
  </cols>
  <sheetData>
    <row r="1" spans="1:7" x14ac:dyDescent="0.3">
      <c r="A1" s="5" t="s">
        <v>166</v>
      </c>
      <c r="B1" s="5" t="s">
        <v>167</v>
      </c>
      <c r="C1" s="3" t="s">
        <v>168</v>
      </c>
      <c r="D1" s="3" t="s">
        <v>169</v>
      </c>
      <c r="E1" s="3" t="s">
        <v>170</v>
      </c>
      <c r="F1" s="3" t="s">
        <v>171</v>
      </c>
    </row>
    <row r="2" spans="1:7" x14ac:dyDescent="0.3">
      <c r="A2" s="3">
        <f>SUM(Sheet1!G:G)</f>
        <v>384000</v>
      </c>
      <c r="B2" s="3">
        <f>SUM(Sheet1!H:H)</f>
        <v>350800</v>
      </c>
      <c r="C2" s="5">
        <f>A2-B2</f>
        <v>33200</v>
      </c>
      <c r="D2" s="3">
        <f>SUM(Sheet1!I:I)</f>
        <v>847000</v>
      </c>
      <c r="E2" s="3">
        <f>SUM(Sheet1!J:J)</f>
        <v>14910</v>
      </c>
      <c r="F2" s="3">
        <f>IFERROR(SUM(Sheet1!K:K)/SUM(Sheet1!J:J), 0)</f>
        <v>0.11167002012072434</v>
      </c>
    </row>
    <row r="4" spans="1:7" x14ac:dyDescent="0.3">
      <c r="A4" s="6" t="s">
        <v>172</v>
      </c>
      <c r="B4" t="s">
        <v>175</v>
      </c>
      <c r="F4" s="6" t="s">
        <v>172</v>
      </c>
      <c r="G4" t="s">
        <v>175</v>
      </c>
    </row>
    <row r="5" spans="1:7" x14ac:dyDescent="0.3">
      <c r="A5" s="4" t="s">
        <v>12</v>
      </c>
      <c r="B5" s="2">
        <v>47500</v>
      </c>
      <c r="F5" s="4" t="s">
        <v>25</v>
      </c>
      <c r="G5" s="2">
        <v>117500</v>
      </c>
    </row>
    <row r="6" spans="1:7" x14ac:dyDescent="0.3">
      <c r="A6" s="4" t="s">
        <v>35</v>
      </c>
      <c r="B6" s="2">
        <v>22000</v>
      </c>
      <c r="F6" s="4" t="s">
        <v>20</v>
      </c>
      <c r="G6" s="2">
        <v>241000</v>
      </c>
    </row>
    <row r="7" spans="1:7" x14ac:dyDescent="0.3">
      <c r="A7" s="4" t="s">
        <v>46</v>
      </c>
      <c r="B7" s="2">
        <v>66500</v>
      </c>
      <c r="F7" s="4" t="s">
        <v>17</v>
      </c>
      <c r="G7" s="2">
        <v>488500</v>
      </c>
    </row>
    <row r="8" spans="1:7" x14ac:dyDescent="0.3">
      <c r="A8" s="4" t="s">
        <v>59</v>
      </c>
      <c r="B8" s="2">
        <v>77000</v>
      </c>
      <c r="F8" s="4" t="s">
        <v>173</v>
      </c>
      <c r="G8" s="2"/>
    </row>
    <row r="9" spans="1:7" x14ac:dyDescent="0.3">
      <c r="A9" s="4" t="s">
        <v>71</v>
      </c>
      <c r="B9" s="2">
        <v>48000</v>
      </c>
      <c r="F9" s="4" t="s">
        <v>174</v>
      </c>
      <c r="G9" s="2">
        <v>847000</v>
      </c>
    </row>
    <row r="10" spans="1:7" x14ac:dyDescent="0.3">
      <c r="A10" s="4" t="s">
        <v>84</v>
      </c>
      <c r="B10" s="2">
        <v>138000</v>
      </c>
    </row>
    <row r="11" spans="1:7" x14ac:dyDescent="0.3">
      <c r="A11" s="4" t="s">
        <v>95</v>
      </c>
      <c r="B11" s="2">
        <v>39000</v>
      </c>
    </row>
    <row r="12" spans="1:7" x14ac:dyDescent="0.3">
      <c r="A12" s="4" t="s">
        <v>107</v>
      </c>
      <c r="B12" s="2">
        <v>55000</v>
      </c>
    </row>
    <row r="13" spans="1:7" x14ac:dyDescent="0.3">
      <c r="A13" s="4" t="s">
        <v>119</v>
      </c>
      <c r="B13" s="2">
        <v>88000</v>
      </c>
    </row>
    <row r="14" spans="1:7" x14ac:dyDescent="0.3">
      <c r="A14" s="4" t="s">
        <v>131</v>
      </c>
      <c r="B14" s="2">
        <v>75000</v>
      </c>
    </row>
    <row r="15" spans="1:7" x14ac:dyDescent="0.3">
      <c r="A15" s="4" t="s">
        <v>143</v>
      </c>
      <c r="B15" s="2">
        <v>111000</v>
      </c>
    </row>
    <row r="16" spans="1:7" x14ac:dyDescent="0.3">
      <c r="A16" s="4" t="s">
        <v>154</v>
      </c>
      <c r="B16" s="2">
        <v>80000</v>
      </c>
      <c r="E16" s="6" t="s">
        <v>177</v>
      </c>
      <c r="F16" s="6" t="s">
        <v>178</v>
      </c>
    </row>
    <row r="17" spans="1:10" x14ac:dyDescent="0.3">
      <c r="A17" s="4" t="s">
        <v>173</v>
      </c>
      <c r="B17" s="2"/>
      <c r="E17" s="6" t="s">
        <v>172</v>
      </c>
      <c r="F17" t="s">
        <v>15</v>
      </c>
      <c r="G17" t="s">
        <v>32</v>
      </c>
      <c r="H17" t="s">
        <v>28</v>
      </c>
      <c r="I17" t="s">
        <v>173</v>
      </c>
      <c r="J17" t="s">
        <v>174</v>
      </c>
    </row>
    <row r="18" spans="1:10" x14ac:dyDescent="0.3">
      <c r="A18" s="4" t="s">
        <v>174</v>
      </c>
      <c r="B18" s="2">
        <v>847000</v>
      </c>
      <c r="E18" s="4" t="s">
        <v>13</v>
      </c>
      <c r="F18" s="2">
        <v>92700</v>
      </c>
      <c r="G18" s="2">
        <v>6000</v>
      </c>
      <c r="H18" s="2">
        <v>3500</v>
      </c>
      <c r="I18" s="2"/>
      <c r="J18" s="2">
        <v>102200</v>
      </c>
    </row>
    <row r="19" spans="1:10" x14ac:dyDescent="0.3">
      <c r="E19" s="4" t="s">
        <v>30</v>
      </c>
      <c r="F19" s="2">
        <v>39900</v>
      </c>
      <c r="G19" s="2">
        <v>19700</v>
      </c>
      <c r="H19" s="2">
        <v>9000</v>
      </c>
      <c r="I19" s="2"/>
      <c r="J19" s="2">
        <v>68600</v>
      </c>
    </row>
    <row r="20" spans="1:10" x14ac:dyDescent="0.3">
      <c r="A20" s="6" t="s">
        <v>172</v>
      </c>
      <c r="B20" t="s">
        <v>176</v>
      </c>
      <c r="C20" t="s">
        <v>177</v>
      </c>
      <c r="E20" s="4" t="s">
        <v>18</v>
      </c>
      <c r="F20" s="2">
        <v>62400</v>
      </c>
      <c r="G20" s="2">
        <v>19000</v>
      </c>
      <c r="H20" s="2">
        <v>15000</v>
      </c>
      <c r="I20" s="2"/>
      <c r="J20" s="2">
        <v>96400</v>
      </c>
    </row>
    <row r="21" spans="1:10" x14ac:dyDescent="0.3">
      <c r="A21" s="4" t="s">
        <v>13</v>
      </c>
      <c r="B21" s="2">
        <v>112500</v>
      </c>
      <c r="C21" s="2">
        <v>102200</v>
      </c>
      <c r="E21" s="4" t="s">
        <v>22</v>
      </c>
      <c r="F21" s="2">
        <v>71600</v>
      </c>
      <c r="G21" s="2">
        <v>3000</v>
      </c>
      <c r="H21" s="2">
        <v>9000</v>
      </c>
      <c r="I21" s="2"/>
      <c r="J21" s="2">
        <v>83600</v>
      </c>
    </row>
    <row r="22" spans="1:10" x14ac:dyDescent="0.3">
      <c r="A22" s="4" t="s">
        <v>30</v>
      </c>
      <c r="B22" s="2">
        <v>73500</v>
      </c>
      <c r="C22" s="2">
        <v>68600</v>
      </c>
      <c r="E22" s="4" t="s">
        <v>173</v>
      </c>
      <c r="F22" s="2"/>
      <c r="G22" s="2"/>
      <c r="H22" s="2"/>
      <c r="I22" s="2"/>
      <c r="J22" s="2"/>
    </row>
    <row r="23" spans="1:10" x14ac:dyDescent="0.3">
      <c r="A23" s="4" t="s">
        <v>18</v>
      </c>
      <c r="B23" s="2">
        <v>109000</v>
      </c>
      <c r="C23" s="2">
        <v>96400</v>
      </c>
      <c r="E23" s="4" t="s">
        <v>174</v>
      </c>
      <c r="F23" s="2">
        <v>266600</v>
      </c>
      <c r="G23" s="2">
        <v>47700</v>
      </c>
      <c r="H23" s="2">
        <v>36500</v>
      </c>
      <c r="I23" s="2"/>
      <c r="J23" s="2">
        <v>350800</v>
      </c>
    </row>
    <row r="24" spans="1:10" x14ac:dyDescent="0.3">
      <c r="A24" s="4" t="s">
        <v>22</v>
      </c>
      <c r="B24" s="2">
        <v>89000</v>
      </c>
      <c r="C24" s="2">
        <v>83600</v>
      </c>
    </row>
    <row r="25" spans="1:10" x14ac:dyDescent="0.3">
      <c r="A25" s="4" t="s">
        <v>173</v>
      </c>
      <c r="B25" s="2"/>
      <c r="C25" s="2"/>
    </row>
    <row r="26" spans="1:10" x14ac:dyDescent="0.3">
      <c r="A26" s="4" t="s">
        <v>174</v>
      </c>
      <c r="B26" s="2">
        <v>384000</v>
      </c>
      <c r="C26" s="2">
        <v>350800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9C5A-A18B-434C-80E4-8926E1AE6D87}">
  <dimension ref="A1"/>
  <sheetViews>
    <sheetView showGridLines="0" tabSelected="1" topLeftCell="A5" workbookViewId="0">
      <selection activeCell="Q26" sqref="Q26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RANGANATH B M</dc:creator>
  <cp:lastModifiedBy>RANGANATH B M</cp:lastModifiedBy>
  <dcterms:created xsi:type="dcterms:W3CDTF">2026-09-01T14:20:49Z</dcterms:created>
  <dcterms:modified xsi:type="dcterms:W3CDTF">2026-09-01T16:47:01Z</dcterms:modified>
</cp:coreProperties>
</file>