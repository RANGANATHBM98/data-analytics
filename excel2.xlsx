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TICS_ALL\excel new\"/>
    </mc:Choice>
  </mc:AlternateContent>
  <xr:revisionPtr revIDLastSave="0" documentId="13_ncr:1_{77FEB116-4391-4C3E-98E2-2C648B76ADBC}" xr6:coauthVersionLast="47" xr6:coauthVersionMax="47" xr10:uidLastSave="{00000000-0000-0000-0000-000000000000}"/>
  <bookViews>
    <workbookView xWindow="-108" yWindow="-108" windowWidth="23256" windowHeight="12456" activeTab="2" xr2:uid="{B292EBCA-F631-4795-886E-E0FD6F945054}"/>
  </bookViews>
  <sheets>
    <sheet name="excel2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M2" i="3"/>
  <c r="O2" i="3"/>
  <c r="L2" i="3"/>
  <c r="N2" i="3"/>
  <c r="K2" i="3"/>
  <c r="O3" i="2"/>
  <c r="O4" i="2"/>
  <c r="O5" i="2"/>
  <c r="O6" i="2"/>
  <c r="O2" i="2"/>
  <c r="N2" i="2"/>
  <c r="N3" i="2"/>
  <c r="N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13" i="2"/>
  <c r="L14" i="2"/>
  <c r="L15" i="2"/>
  <c r="L16" i="2"/>
  <c r="L17" i="2"/>
  <c r="L18" i="2"/>
  <c r="L19" i="2"/>
  <c r="L20" i="2"/>
  <c r="L21" i="2"/>
  <c r="L8" i="2"/>
  <c r="L9" i="2"/>
  <c r="L10" i="2"/>
  <c r="L11" i="2"/>
  <c r="L12" i="2"/>
  <c r="L3" i="2"/>
  <c r="L4" i="2"/>
  <c r="L5" i="2"/>
  <c r="L6" i="2"/>
  <c r="L7" i="2"/>
  <c r="L2" i="2"/>
  <c r="K2" i="2" a="1"/>
  <c r="K2" i="2" s="1"/>
  <c r="U2" i="1" a="1"/>
  <c r="U2" i="1" s="1"/>
  <c r="R2" i="1" a="1"/>
  <c r="R2" i="1" s="1"/>
  <c r="Q2" i="1" a="1"/>
  <c r="Q2" i="1" s="1"/>
  <c r="P2" i="1" a="1"/>
  <c r="P2" i="1" s="1"/>
  <c r="O2" i="1" a="1"/>
  <c r="O2" i="1" s="1"/>
  <c r="N2" i="1" a="1"/>
  <c r="N2" i="1" s="1"/>
  <c r="M2" i="1" a="1"/>
  <c r="M2" i="1" s="1"/>
  <c r="L3" i="1"/>
  <c r="K3" i="1"/>
  <c r="L2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<sst xmlns="http://schemas.openxmlformats.org/spreadsheetml/2006/main" count="489" uniqueCount="132">
  <si>
    <t>Order ID</t>
  </si>
  <si>
    <t>Customer Name</t>
  </si>
  <si>
    <t>City</t>
  </si>
  <si>
    <t>State</t>
  </si>
  <si>
    <t>Order Date</t>
  </si>
  <si>
    <t>Category</t>
  </si>
  <si>
    <t>Product Name</t>
  </si>
  <si>
    <t>Region</t>
  </si>
  <si>
    <t>Quantity</t>
  </si>
  <si>
    <t>Sales</t>
  </si>
  <si>
    <t>ORD001</t>
  </si>
  <si>
    <t>Ranganath BM</t>
  </si>
  <si>
    <t>Bengaluru</t>
  </si>
  <si>
    <t>Karnataka</t>
  </si>
  <si>
    <t>Technology</t>
  </si>
  <si>
    <t>Laptop Stand</t>
  </si>
  <si>
    <t>South</t>
  </si>
  <si>
    <t>ORD002</t>
  </si>
  <si>
    <t>Arjun Kumar</t>
  </si>
  <si>
    <t>Mysuru</t>
  </si>
  <si>
    <t>Furniture</t>
  </si>
  <si>
    <t>Office Chair</t>
  </si>
  <si>
    <t>ORD003</t>
  </si>
  <si>
    <t>Priya Sharma</t>
  </si>
  <si>
    <t>Chennai</t>
  </si>
  <si>
    <t>Tamil Nadu</t>
  </si>
  <si>
    <t>Wireless Mouse</t>
  </si>
  <si>
    <t>ORD004</t>
  </si>
  <si>
    <t>Rahul Singh</t>
  </si>
  <si>
    <t>Mumbai</t>
  </si>
  <si>
    <t>Maharashtra</t>
  </si>
  <si>
    <t>Office Supplies</t>
  </si>
  <si>
    <t>Notebook</t>
  </si>
  <si>
    <t>West</t>
  </si>
  <si>
    <t>ORD005</t>
  </si>
  <si>
    <t>Sneha Rao</t>
  </si>
  <si>
    <t>Hyderabad</t>
  </si>
  <si>
    <t>Telangana</t>
  </si>
  <si>
    <t>Keyboard</t>
  </si>
  <si>
    <t>ORD006</t>
  </si>
  <si>
    <t>Amit Patel</t>
  </si>
  <si>
    <t>Pune</t>
  </si>
  <si>
    <t>Desk Lamp</t>
  </si>
  <si>
    <t>ORD007</t>
  </si>
  <si>
    <t>Kavya Nair</t>
  </si>
  <si>
    <t>Kochi</t>
  </si>
  <si>
    <t>Kerala</t>
  </si>
  <si>
    <t>File Folder</t>
  </si>
  <si>
    <t>ORD008</t>
  </si>
  <si>
    <t>Vikram Das</t>
  </si>
  <si>
    <t>Delhi</t>
  </si>
  <si>
    <t>Monitor</t>
  </si>
  <si>
    <t>North</t>
  </si>
  <si>
    <t>ORD009</t>
  </si>
  <si>
    <t>Ananya Gupta</t>
  </si>
  <si>
    <t>Jaipur</t>
  </si>
  <si>
    <t>Rajasthan</t>
  </si>
  <si>
    <t>Bookshelf</t>
  </si>
  <si>
    <t>ORD010</t>
  </si>
  <si>
    <t>Rohit Verma</t>
  </si>
  <si>
    <t>Ahmedabad</t>
  </si>
  <si>
    <t>Gujarat</t>
  </si>
  <si>
    <t>Pen Set</t>
  </si>
  <si>
    <t>ORD011</t>
  </si>
  <si>
    <t>Neha Joshi</t>
  </si>
  <si>
    <t>Webcam</t>
  </si>
  <si>
    <t>ORD012</t>
  </si>
  <si>
    <t>Karan Mehta</t>
  </si>
  <si>
    <t>Office Table</t>
  </si>
  <si>
    <t>ORD013</t>
  </si>
  <si>
    <t>Pooja Iyer</t>
  </si>
  <si>
    <t>Headphones</t>
  </si>
  <si>
    <t>ORD014</t>
  </si>
  <si>
    <t>Sanjay Kumar</t>
  </si>
  <si>
    <t>Stapler</t>
  </si>
  <si>
    <t>ORD015</t>
  </si>
  <si>
    <t>Divya Menon</t>
  </si>
  <si>
    <t>Computer Desk</t>
  </si>
  <si>
    <t>ORD016</t>
  </si>
  <si>
    <t>Naveen Reddy</t>
  </si>
  <si>
    <t>USB Hub</t>
  </si>
  <si>
    <t>ORD017</t>
  </si>
  <si>
    <t>Meera Shah</t>
  </si>
  <si>
    <t>Calculator</t>
  </si>
  <si>
    <t>ORD018</t>
  </si>
  <si>
    <t>Ajay Singh</t>
  </si>
  <si>
    <t>Printer</t>
  </si>
  <si>
    <t>ORD019</t>
  </si>
  <si>
    <t>Swati Kapoor</t>
  </si>
  <si>
    <t>Filing Cabinet</t>
  </si>
  <si>
    <t>ORD020</t>
  </si>
  <si>
    <t>Manish Rao</t>
  </si>
  <si>
    <t>Whiteboard</t>
  </si>
  <si>
    <t>max</t>
  </si>
  <si>
    <t>min</t>
  </si>
  <si>
    <t>IF</t>
  </si>
  <si>
    <t>IFS</t>
  </si>
  <si>
    <t>LEN</t>
  </si>
  <si>
    <t>left</t>
  </si>
  <si>
    <t>right</t>
  </si>
  <si>
    <t>text(h2,"dd/mm/yyyy")</t>
  </si>
  <si>
    <t>05/01/2026</t>
  </si>
  <si>
    <t>08/01/2026</t>
  </si>
  <si>
    <t>12/01/2026</t>
  </si>
  <si>
    <t>15/01/2026</t>
  </si>
  <si>
    <t>20/01/2026</t>
  </si>
  <si>
    <t>25/01/2026</t>
  </si>
  <si>
    <t>02/02/2026</t>
  </si>
  <si>
    <t>06/02/2026</t>
  </si>
  <si>
    <t>10/02/2026</t>
  </si>
  <si>
    <t>15/02/2026</t>
  </si>
  <si>
    <t>20/02/2026</t>
  </si>
  <si>
    <t>25/02/2026</t>
  </si>
  <si>
    <t>03/03/2026</t>
  </si>
  <si>
    <t>08/03/2026</t>
  </si>
  <si>
    <t>12/03/2026</t>
  </si>
  <si>
    <t>18/03/2026</t>
  </si>
  <si>
    <t>22/03/2026</t>
  </si>
  <si>
    <t>27/03/2026</t>
  </si>
  <si>
    <t>02/04/2026</t>
  </si>
  <si>
    <t>07/04/2026</t>
  </si>
  <si>
    <t>TRIM</t>
  </si>
  <si>
    <t>CONCATENATE</t>
  </si>
  <si>
    <t>with 0 instance</t>
  </si>
  <si>
    <t>with 1 instance</t>
  </si>
  <si>
    <t>with 2 instance</t>
  </si>
  <si>
    <t>sum</t>
  </si>
  <si>
    <t>sumif</t>
  </si>
  <si>
    <t>sumifs</t>
  </si>
  <si>
    <t>count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</si>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</sst>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2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0381-4DCD-435D-8979-6B6D2CF9C92C}">
  <dimension ref="A1:U21"/>
  <sheetViews>
    <sheetView workbookViewId="0">
      <selection activeCell="D12" sqref="D12"/>
    </sheetView>
  </sheetViews>
  <sheetFormatPr defaultRowHeight="14.4" x14ac:dyDescent="0.3"/>
  <cols>
    <col min="1" max="1" width="20.109375" customWidth="1"/>
    <col min="2" max="2" width="17.6640625" customWidth="1"/>
    <col min="3" max="3" width="17.77734375" customWidth="1"/>
    <col min="4" max="4" width="15.109375" customWidth="1"/>
    <col min="5" max="5" width="16.33203125" customWidth="1"/>
    <col min="6" max="6" width="17.6640625" customWidth="1"/>
    <col min="7" max="7" width="12.6640625" customWidth="1"/>
    <col min="8" max="8" width="12.88671875" customWidth="1"/>
    <col min="9" max="9" width="14.5546875" customWidth="1"/>
    <col min="10" max="10" width="16.88671875" customWidth="1"/>
    <col min="11" max="12" width="10.33203125" bestFit="1" customWidth="1"/>
    <col min="13" max="13" width="12" customWidth="1"/>
    <col min="17" max="17" width="8.88671875" customWidth="1"/>
    <col min="18" max="18" width="27.109375" customWidth="1"/>
    <col min="20" max="20" width="16.44140625" customWidth="1"/>
  </cols>
  <sheetData>
    <row r="1" spans="1:21" ht="28.8" x14ac:dyDescent="0.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93</v>
      </c>
      <c r="L1" s="6" t="s">
        <v>94</v>
      </c>
      <c r="M1" s="8" t="s">
        <v>95</v>
      </c>
      <c r="N1" s="9" t="s">
        <v>96</v>
      </c>
      <c r="O1" s="9" t="s">
        <v>97</v>
      </c>
      <c r="P1" s="10" t="s">
        <v>98</v>
      </c>
      <c r="Q1" s="9" t="s">
        <v>99</v>
      </c>
      <c r="R1" s="9" t="s">
        <v>100</v>
      </c>
    </row>
    <row r="2" spans="1:21" ht="28.8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46027</v>
      </c>
      <c r="F2" s="3" t="s">
        <v>14</v>
      </c>
      <c r="G2" s="3" t="s">
        <v>15</v>
      </c>
      <c r="H2" s="3" t="s">
        <v>16</v>
      </c>
      <c r="I2" s="3">
        <v>2</v>
      </c>
      <c r="J2" s="3">
        <v>2400</v>
      </c>
      <c r="K2">
        <f>MAX(I2:I21)</f>
        <v>10</v>
      </c>
      <c r="L2">
        <f>MIN(J2:J21)</f>
        <v>500</v>
      </c>
      <c r="M2" s="7" t="str" cm="1">
        <f t="array" ref="M2:M21">IF(J2:J21&gt;=10000,"best salary","worst salary")</f>
        <v>worst salary</v>
      </c>
      <c r="N2" t="str" cm="1">
        <f t="array" ref="N2:N21">_xlfn.IFS(F2:F21="Technology","IT",F2:F21="Furniture","carpenter")</f>
        <v>IT</v>
      </c>
      <c r="O2" cm="1">
        <f t="array" ref="O2:O21">LEN(F2:F21)</f>
        <v>10</v>
      </c>
      <c r="P2" t="str" cm="1">
        <f t="array" ref="P2:P21">LEFT(F2:F21,4)</f>
        <v>Tech</v>
      </c>
      <c r="Q2" t="str" cm="1">
        <f t="array" ref="Q2:Q21">RIGHT(J2:J21,2)</f>
        <v>00</v>
      </c>
      <c r="R2" t="str" cm="1">
        <f t="array" ref="R2:R21">TEXT(E2:E21,"dd/mm/yyyy")</f>
        <v>05/01/2026</v>
      </c>
      <c r="T2" t="s">
        <v>101</v>
      </c>
      <c r="U2" t="str" cm="1">
        <f t="array" ref="U2:U21">RIGHT(T2:T21,5)</f>
        <v>/2026</v>
      </c>
    </row>
    <row r="3" spans="1:21" ht="28.8" x14ac:dyDescent="0.3">
      <c r="A3" s="3" t="s">
        <v>17</v>
      </c>
      <c r="B3" s="3" t="s">
        <v>18</v>
      </c>
      <c r="C3" s="3" t="s">
        <v>19</v>
      </c>
      <c r="D3" s="3" t="s">
        <v>13</v>
      </c>
      <c r="E3" s="4">
        <v>46030</v>
      </c>
      <c r="F3" s="3" t="s">
        <v>20</v>
      </c>
      <c r="G3" s="3" t="s">
        <v>21</v>
      </c>
      <c r="H3" s="3" t="s">
        <v>16</v>
      </c>
      <c r="I3" s="3">
        <v>1</v>
      </c>
      <c r="J3" s="3">
        <v>5500</v>
      </c>
      <c r="K3" s="1">
        <f>MAX(E2:E21)</f>
        <v>46119</v>
      </c>
      <c r="L3" s="1">
        <f>MIN(E2:E21)</f>
        <v>46027</v>
      </c>
      <c r="M3" t="str">
        <v>worst salary</v>
      </c>
      <c r="N3" t="str">
        <v>carpenter</v>
      </c>
      <c r="O3">
        <v>9</v>
      </c>
      <c r="P3" t="str">
        <v>Furn</v>
      </c>
      <c r="Q3" t="str">
        <v>00</v>
      </c>
      <c r="R3" t="str">
        <v>08/01/2026</v>
      </c>
      <c r="T3" t="s">
        <v>102</v>
      </c>
      <c r="U3" t="str">
        <v>/2026</v>
      </c>
    </row>
    <row r="4" spans="1:21" ht="28.8" x14ac:dyDescent="0.3">
      <c r="A4" s="3" t="s">
        <v>22</v>
      </c>
      <c r="B4" s="3" t="s">
        <v>23</v>
      </c>
      <c r="C4" s="3" t="s">
        <v>24</v>
      </c>
      <c r="D4" s="3" t="s">
        <v>25</v>
      </c>
      <c r="E4" s="4">
        <v>46034</v>
      </c>
      <c r="F4" s="3" t="s">
        <v>14</v>
      </c>
      <c r="G4" s="3" t="s">
        <v>26</v>
      </c>
      <c r="H4" s="3" t="s">
        <v>16</v>
      </c>
      <c r="I4" s="3">
        <v>3</v>
      </c>
      <c r="J4" s="3">
        <v>1800</v>
      </c>
      <c r="M4" t="str">
        <v>worst salary</v>
      </c>
      <c r="N4" t="str">
        <v>IT</v>
      </c>
      <c r="O4">
        <v>10</v>
      </c>
      <c r="P4" t="str">
        <v>Tech</v>
      </c>
      <c r="Q4" t="str">
        <v>00</v>
      </c>
      <c r="R4" t="str">
        <v>12/01/2026</v>
      </c>
      <c r="T4" t="s">
        <v>103</v>
      </c>
      <c r="U4" t="str">
        <v>/2026</v>
      </c>
    </row>
    <row r="5" spans="1:21" ht="28.8" x14ac:dyDescent="0.3">
      <c r="A5" s="3" t="s">
        <v>27</v>
      </c>
      <c r="B5" s="3" t="s">
        <v>28</v>
      </c>
      <c r="C5" s="3" t="s">
        <v>29</v>
      </c>
      <c r="D5" s="3" t="s">
        <v>30</v>
      </c>
      <c r="E5" s="4">
        <v>46037</v>
      </c>
      <c r="F5" s="3" t="s">
        <v>31</v>
      </c>
      <c r="G5" s="3" t="s">
        <v>32</v>
      </c>
      <c r="H5" s="3" t="s">
        <v>33</v>
      </c>
      <c r="I5" s="3">
        <v>5</v>
      </c>
      <c r="J5" s="3">
        <v>750</v>
      </c>
      <c r="M5" t="str">
        <v>worst salary</v>
      </c>
      <c r="N5" t="e">
        <v>#N/A</v>
      </c>
      <c r="O5">
        <v>15</v>
      </c>
      <c r="P5" t="str">
        <v>Offi</v>
      </c>
      <c r="Q5" t="str">
        <v>50</v>
      </c>
      <c r="R5" t="str">
        <v>15/01/2026</v>
      </c>
      <c r="T5" t="s">
        <v>104</v>
      </c>
      <c r="U5" t="str">
        <v>/2026</v>
      </c>
    </row>
    <row r="6" spans="1:21" ht="28.8" x14ac:dyDescent="0.3">
      <c r="A6" s="3" t="s">
        <v>34</v>
      </c>
      <c r="B6" s="3" t="s">
        <v>35</v>
      </c>
      <c r="C6" s="3" t="s">
        <v>36</v>
      </c>
      <c r="D6" s="3" t="s">
        <v>37</v>
      </c>
      <c r="E6" s="4">
        <v>46042</v>
      </c>
      <c r="F6" s="3" t="s">
        <v>14</v>
      </c>
      <c r="G6" s="3" t="s">
        <v>38</v>
      </c>
      <c r="H6" s="3" t="s">
        <v>16</v>
      </c>
      <c r="I6" s="3">
        <v>2</v>
      </c>
      <c r="J6" s="3">
        <v>2200</v>
      </c>
      <c r="M6" t="str">
        <v>worst salary</v>
      </c>
      <c r="N6" t="str">
        <v>IT</v>
      </c>
      <c r="O6">
        <v>10</v>
      </c>
      <c r="P6" t="str">
        <v>Tech</v>
      </c>
      <c r="Q6" t="str">
        <v>00</v>
      </c>
      <c r="R6" t="str">
        <v>20/01/2026</v>
      </c>
      <c r="T6" t="s">
        <v>105</v>
      </c>
      <c r="U6" t="str">
        <v>/2026</v>
      </c>
    </row>
    <row r="7" spans="1:21" ht="28.8" x14ac:dyDescent="0.3">
      <c r="A7" s="3" t="s">
        <v>39</v>
      </c>
      <c r="B7" s="3" t="s">
        <v>40</v>
      </c>
      <c r="C7" s="3" t="s">
        <v>41</v>
      </c>
      <c r="D7" s="3" t="s">
        <v>30</v>
      </c>
      <c r="E7" s="4">
        <v>46047</v>
      </c>
      <c r="F7" s="3" t="s">
        <v>20</v>
      </c>
      <c r="G7" s="3" t="s">
        <v>42</v>
      </c>
      <c r="H7" s="3" t="s">
        <v>33</v>
      </c>
      <c r="I7" s="3">
        <v>4</v>
      </c>
      <c r="J7" s="3">
        <v>3200</v>
      </c>
      <c r="M7" t="str">
        <v>worst salary</v>
      </c>
      <c r="N7" t="str">
        <v>carpenter</v>
      </c>
      <c r="O7">
        <v>9</v>
      </c>
      <c r="P7" t="str">
        <v>Furn</v>
      </c>
      <c r="Q7" t="str">
        <v>00</v>
      </c>
      <c r="R7" t="str">
        <v>25/01/2026</v>
      </c>
      <c r="T7" t="s">
        <v>106</v>
      </c>
      <c r="U7" t="str">
        <v>/2026</v>
      </c>
    </row>
    <row r="8" spans="1:21" ht="28.8" x14ac:dyDescent="0.3">
      <c r="A8" s="3" t="s">
        <v>43</v>
      </c>
      <c r="B8" s="3" t="s">
        <v>44</v>
      </c>
      <c r="C8" s="3" t="s">
        <v>45</v>
      </c>
      <c r="D8" s="3" t="s">
        <v>46</v>
      </c>
      <c r="E8" s="4">
        <v>46055</v>
      </c>
      <c r="F8" s="3" t="s">
        <v>31</v>
      </c>
      <c r="G8" s="3" t="s">
        <v>47</v>
      </c>
      <c r="H8" s="3" t="s">
        <v>16</v>
      </c>
      <c r="I8" s="3">
        <v>6</v>
      </c>
      <c r="J8" s="3">
        <v>900</v>
      </c>
      <c r="M8" t="str">
        <v>worst salary</v>
      </c>
      <c r="N8" t="e">
        <v>#N/A</v>
      </c>
      <c r="O8">
        <v>15</v>
      </c>
      <c r="P8" t="str">
        <v>Offi</v>
      </c>
      <c r="Q8" t="str">
        <v>00</v>
      </c>
      <c r="R8" t="str">
        <v>02/02/2026</v>
      </c>
      <c r="T8" t="s">
        <v>107</v>
      </c>
      <c r="U8" t="str">
        <v>/2026</v>
      </c>
    </row>
    <row r="9" spans="1:21" ht="28.8" x14ac:dyDescent="0.3">
      <c r="A9" s="3" t="s">
        <v>48</v>
      </c>
      <c r="B9" s="3" t="s">
        <v>49</v>
      </c>
      <c r="C9" s="3" t="s">
        <v>50</v>
      </c>
      <c r="D9" s="3" t="s">
        <v>50</v>
      </c>
      <c r="E9" s="4">
        <v>46059</v>
      </c>
      <c r="F9" s="3" t="s">
        <v>14</v>
      </c>
      <c r="G9" s="3" t="s">
        <v>51</v>
      </c>
      <c r="H9" s="3" t="s">
        <v>52</v>
      </c>
      <c r="I9" s="3">
        <v>1</v>
      </c>
      <c r="J9" s="3">
        <v>12500</v>
      </c>
      <c r="M9" t="str">
        <v>best salary</v>
      </c>
      <c r="N9" t="str">
        <v>IT</v>
      </c>
      <c r="O9">
        <v>10</v>
      </c>
      <c r="P9" t="str">
        <v>Tech</v>
      </c>
      <c r="Q9" t="str">
        <v>00</v>
      </c>
      <c r="R9" t="str">
        <v>06/02/2026</v>
      </c>
      <c r="T9" t="s">
        <v>108</v>
      </c>
      <c r="U9" t="str">
        <v>/2026</v>
      </c>
    </row>
    <row r="10" spans="1:21" ht="28.8" x14ac:dyDescent="0.3">
      <c r="A10" s="3" t="s">
        <v>53</v>
      </c>
      <c r="B10" s="3" t="s">
        <v>54</v>
      </c>
      <c r="C10" s="3" t="s">
        <v>55</v>
      </c>
      <c r="D10" s="3" t="s">
        <v>56</v>
      </c>
      <c r="E10" s="4">
        <v>46063</v>
      </c>
      <c r="F10" s="3" t="s">
        <v>20</v>
      </c>
      <c r="G10" s="3" t="s">
        <v>57</v>
      </c>
      <c r="H10" s="3" t="s">
        <v>52</v>
      </c>
      <c r="I10" s="3">
        <v>2</v>
      </c>
      <c r="J10" s="3">
        <v>6800</v>
      </c>
      <c r="M10" t="str">
        <v>worst salary</v>
      </c>
      <c r="N10" t="str">
        <v>carpenter</v>
      </c>
      <c r="O10">
        <v>9</v>
      </c>
      <c r="P10" t="str">
        <v>Furn</v>
      </c>
      <c r="Q10" t="str">
        <v>00</v>
      </c>
      <c r="R10" t="str">
        <v>10/02/2026</v>
      </c>
      <c r="T10" t="s">
        <v>109</v>
      </c>
      <c r="U10" t="str">
        <v>/2026</v>
      </c>
    </row>
    <row r="11" spans="1:21" ht="28.8" x14ac:dyDescent="0.3">
      <c r="A11" s="3" t="s">
        <v>58</v>
      </c>
      <c r="B11" s="3" t="s">
        <v>59</v>
      </c>
      <c r="C11" s="3" t="s">
        <v>60</v>
      </c>
      <c r="D11" s="3" t="s">
        <v>61</v>
      </c>
      <c r="E11" s="4">
        <v>46068</v>
      </c>
      <c r="F11" s="3" t="s">
        <v>31</v>
      </c>
      <c r="G11" s="3" t="s">
        <v>62</v>
      </c>
      <c r="H11" s="3" t="s">
        <v>33</v>
      </c>
      <c r="I11" s="3">
        <v>10</v>
      </c>
      <c r="J11" s="3">
        <v>500</v>
      </c>
      <c r="M11" t="str">
        <v>worst salary</v>
      </c>
      <c r="N11" t="e">
        <v>#N/A</v>
      </c>
      <c r="O11">
        <v>15</v>
      </c>
      <c r="P11" t="str">
        <v>Offi</v>
      </c>
      <c r="Q11" t="str">
        <v>00</v>
      </c>
      <c r="R11" t="str">
        <v>15/02/2026</v>
      </c>
      <c r="T11" t="s">
        <v>110</v>
      </c>
      <c r="U11" t="str">
        <v>/2026</v>
      </c>
    </row>
    <row r="12" spans="1:21" ht="28.8" x14ac:dyDescent="0.3">
      <c r="A12" s="3" t="s">
        <v>63</v>
      </c>
      <c r="B12" s="3" t="s">
        <v>64</v>
      </c>
      <c r="C12" s="3" t="s">
        <v>12</v>
      </c>
      <c r="D12" s="3" t="s">
        <v>13</v>
      </c>
      <c r="E12" s="4">
        <v>46073</v>
      </c>
      <c r="F12" s="3" t="s">
        <v>14</v>
      </c>
      <c r="G12" s="3" t="s">
        <v>65</v>
      </c>
      <c r="H12" s="3" t="s">
        <v>16</v>
      </c>
      <c r="I12" s="3">
        <v>2</v>
      </c>
      <c r="J12" s="3">
        <v>3600</v>
      </c>
      <c r="M12" t="str">
        <v>worst salary</v>
      </c>
      <c r="N12" t="str">
        <v>IT</v>
      </c>
      <c r="O12">
        <v>10</v>
      </c>
      <c r="P12" t="str">
        <v>Tech</v>
      </c>
      <c r="Q12" t="str">
        <v>00</v>
      </c>
      <c r="R12" t="str">
        <v>20/02/2026</v>
      </c>
      <c r="T12" t="s">
        <v>111</v>
      </c>
      <c r="U12" t="str">
        <v>/2026</v>
      </c>
    </row>
    <row r="13" spans="1:21" ht="28.8" x14ac:dyDescent="0.3">
      <c r="A13" s="3" t="s">
        <v>66</v>
      </c>
      <c r="B13" s="3" t="s">
        <v>67</v>
      </c>
      <c r="C13" s="3" t="s">
        <v>29</v>
      </c>
      <c r="D13" s="3" t="s">
        <v>30</v>
      </c>
      <c r="E13" s="4">
        <v>46078</v>
      </c>
      <c r="F13" s="3" t="s">
        <v>20</v>
      </c>
      <c r="G13" s="3" t="s">
        <v>68</v>
      </c>
      <c r="H13" s="3" t="s">
        <v>33</v>
      </c>
      <c r="I13" s="3">
        <v>1</v>
      </c>
      <c r="J13" s="3">
        <v>7200</v>
      </c>
      <c r="M13" t="str">
        <v>worst salary</v>
      </c>
      <c r="N13" t="str">
        <v>carpenter</v>
      </c>
      <c r="O13">
        <v>9</v>
      </c>
      <c r="P13" t="str">
        <v>Furn</v>
      </c>
      <c r="Q13" t="str">
        <v>00</v>
      </c>
      <c r="R13" t="str">
        <v>25/02/2026</v>
      </c>
      <c r="T13" t="s">
        <v>112</v>
      </c>
      <c r="U13" t="str">
        <v>/2026</v>
      </c>
    </row>
    <row r="14" spans="1:21" ht="28.8" x14ac:dyDescent="0.3">
      <c r="A14" s="3" t="s">
        <v>69</v>
      </c>
      <c r="B14" s="3" t="s">
        <v>70</v>
      </c>
      <c r="C14" s="3" t="s">
        <v>24</v>
      </c>
      <c r="D14" s="3" t="s">
        <v>25</v>
      </c>
      <c r="E14" s="4">
        <v>46084</v>
      </c>
      <c r="F14" s="3" t="s">
        <v>14</v>
      </c>
      <c r="G14" s="3" t="s">
        <v>71</v>
      </c>
      <c r="H14" s="3" t="s">
        <v>16</v>
      </c>
      <c r="I14" s="3">
        <v>3</v>
      </c>
      <c r="J14" s="3">
        <v>4500</v>
      </c>
      <c r="M14" t="str">
        <v>worst salary</v>
      </c>
      <c r="N14" t="str">
        <v>IT</v>
      </c>
      <c r="O14">
        <v>10</v>
      </c>
      <c r="P14" t="str">
        <v>Tech</v>
      </c>
      <c r="Q14" t="str">
        <v>00</v>
      </c>
      <c r="R14" t="str">
        <v>03/03/2026</v>
      </c>
      <c r="T14" t="s">
        <v>113</v>
      </c>
      <c r="U14" t="str">
        <v>/2026</v>
      </c>
    </row>
    <row r="15" spans="1:21" ht="28.8" x14ac:dyDescent="0.3">
      <c r="A15" s="3" t="s">
        <v>72</v>
      </c>
      <c r="B15" s="3" t="s">
        <v>73</v>
      </c>
      <c r="C15" s="3" t="s">
        <v>50</v>
      </c>
      <c r="D15" s="3" t="s">
        <v>50</v>
      </c>
      <c r="E15" s="4">
        <v>46089</v>
      </c>
      <c r="F15" s="3" t="s">
        <v>31</v>
      </c>
      <c r="G15" s="3" t="s">
        <v>74</v>
      </c>
      <c r="H15" s="3" t="s">
        <v>52</v>
      </c>
      <c r="I15" s="3">
        <v>4</v>
      </c>
      <c r="J15" s="3">
        <v>800</v>
      </c>
      <c r="M15" t="str">
        <v>worst salary</v>
      </c>
      <c r="N15" t="e">
        <v>#N/A</v>
      </c>
      <c r="O15">
        <v>15</v>
      </c>
      <c r="P15" t="str">
        <v>Offi</v>
      </c>
      <c r="Q15" t="str">
        <v>00</v>
      </c>
      <c r="R15" t="str">
        <v>08/03/2026</v>
      </c>
      <c r="T15" t="s">
        <v>114</v>
      </c>
      <c r="U15" t="str">
        <v>/2026</v>
      </c>
    </row>
    <row r="16" spans="1:21" ht="28.8" x14ac:dyDescent="0.3">
      <c r="A16" s="3" t="s">
        <v>75</v>
      </c>
      <c r="B16" s="3" t="s">
        <v>76</v>
      </c>
      <c r="C16" s="3" t="s">
        <v>45</v>
      </c>
      <c r="D16" s="3" t="s">
        <v>46</v>
      </c>
      <c r="E16" s="4">
        <v>46093</v>
      </c>
      <c r="F16" s="3" t="s">
        <v>20</v>
      </c>
      <c r="G16" s="3" t="s">
        <v>77</v>
      </c>
      <c r="H16" s="3" t="s">
        <v>16</v>
      </c>
      <c r="I16" s="3">
        <v>1</v>
      </c>
      <c r="J16" s="3">
        <v>8500</v>
      </c>
      <c r="M16" t="str">
        <v>worst salary</v>
      </c>
      <c r="N16" t="str">
        <v>carpenter</v>
      </c>
      <c r="O16">
        <v>9</v>
      </c>
      <c r="P16" t="str">
        <v>Furn</v>
      </c>
      <c r="Q16" t="str">
        <v>00</v>
      </c>
      <c r="R16" t="str">
        <v>12/03/2026</v>
      </c>
      <c r="T16" t="s">
        <v>115</v>
      </c>
      <c r="U16" t="str">
        <v>/2026</v>
      </c>
    </row>
    <row r="17" spans="1:21" ht="28.8" x14ac:dyDescent="0.3">
      <c r="A17" s="3" t="s">
        <v>78</v>
      </c>
      <c r="B17" s="3" t="s">
        <v>79</v>
      </c>
      <c r="C17" s="3" t="s">
        <v>36</v>
      </c>
      <c r="D17" s="3" t="s">
        <v>37</v>
      </c>
      <c r="E17" s="4">
        <v>46099</v>
      </c>
      <c r="F17" s="3" t="s">
        <v>14</v>
      </c>
      <c r="G17" s="3" t="s">
        <v>80</v>
      </c>
      <c r="H17" s="3" t="s">
        <v>16</v>
      </c>
      <c r="I17" s="3">
        <v>5</v>
      </c>
      <c r="J17" s="3">
        <v>2750</v>
      </c>
      <c r="M17" t="str">
        <v>worst salary</v>
      </c>
      <c r="N17" t="str">
        <v>IT</v>
      </c>
      <c r="O17">
        <v>10</v>
      </c>
      <c r="P17" t="str">
        <v>Tech</v>
      </c>
      <c r="Q17" t="str">
        <v>50</v>
      </c>
      <c r="R17" t="str">
        <v>18/03/2026</v>
      </c>
      <c r="T17" t="s">
        <v>116</v>
      </c>
      <c r="U17" t="str">
        <v>/2026</v>
      </c>
    </row>
    <row r="18" spans="1:21" ht="28.8" x14ac:dyDescent="0.3">
      <c r="A18" s="3" t="s">
        <v>81</v>
      </c>
      <c r="B18" s="3" t="s">
        <v>82</v>
      </c>
      <c r="C18" s="3" t="s">
        <v>41</v>
      </c>
      <c r="D18" s="3" t="s">
        <v>30</v>
      </c>
      <c r="E18" s="4">
        <v>46103</v>
      </c>
      <c r="F18" s="3" t="s">
        <v>31</v>
      </c>
      <c r="G18" s="3" t="s">
        <v>83</v>
      </c>
      <c r="H18" s="3" t="s">
        <v>33</v>
      </c>
      <c r="I18" s="3">
        <v>3</v>
      </c>
      <c r="J18" s="3">
        <v>2100</v>
      </c>
      <c r="M18" t="str">
        <v>worst salary</v>
      </c>
      <c r="N18" t="e">
        <v>#N/A</v>
      </c>
      <c r="O18">
        <v>15</v>
      </c>
      <c r="P18" t="str">
        <v>Offi</v>
      </c>
      <c r="Q18" t="str">
        <v>00</v>
      </c>
      <c r="R18" t="str">
        <v>22/03/2026</v>
      </c>
      <c r="T18" t="s">
        <v>117</v>
      </c>
      <c r="U18" t="str">
        <v>/2026</v>
      </c>
    </row>
    <row r="19" spans="1:21" ht="28.8" x14ac:dyDescent="0.3">
      <c r="A19" s="3" t="s">
        <v>84</v>
      </c>
      <c r="B19" s="3" t="s">
        <v>85</v>
      </c>
      <c r="C19" s="3" t="s">
        <v>55</v>
      </c>
      <c r="D19" s="3" t="s">
        <v>56</v>
      </c>
      <c r="E19" s="4">
        <v>46108</v>
      </c>
      <c r="F19" s="3" t="s">
        <v>14</v>
      </c>
      <c r="G19" s="3" t="s">
        <v>86</v>
      </c>
      <c r="H19" s="3" t="s">
        <v>52</v>
      </c>
      <c r="I19" s="3">
        <v>1</v>
      </c>
      <c r="J19" s="3">
        <v>9800</v>
      </c>
      <c r="M19" t="str">
        <v>worst salary</v>
      </c>
      <c r="N19" t="str">
        <v>IT</v>
      </c>
      <c r="O19">
        <v>10</v>
      </c>
      <c r="P19" t="str">
        <v>Tech</v>
      </c>
      <c r="Q19" t="str">
        <v>00</v>
      </c>
      <c r="R19" t="str">
        <v>27/03/2026</v>
      </c>
      <c r="T19" t="s">
        <v>118</v>
      </c>
      <c r="U19" t="str">
        <v>/2026</v>
      </c>
    </row>
    <row r="20" spans="1:21" ht="28.8" x14ac:dyDescent="0.3">
      <c r="A20" s="3" t="s">
        <v>87</v>
      </c>
      <c r="B20" s="3" t="s">
        <v>88</v>
      </c>
      <c r="C20" s="3" t="s">
        <v>60</v>
      </c>
      <c r="D20" s="3" t="s">
        <v>61</v>
      </c>
      <c r="E20" s="4">
        <v>46114</v>
      </c>
      <c r="F20" s="3" t="s">
        <v>20</v>
      </c>
      <c r="G20" s="3" t="s">
        <v>89</v>
      </c>
      <c r="H20" s="3" t="s">
        <v>33</v>
      </c>
      <c r="I20" s="3">
        <v>2</v>
      </c>
      <c r="J20" s="3">
        <v>6100</v>
      </c>
      <c r="M20" t="str">
        <v>worst salary</v>
      </c>
      <c r="N20" t="str">
        <v>carpenter</v>
      </c>
      <c r="O20">
        <v>9</v>
      </c>
      <c r="P20" t="str">
        <v>Furn</v>
      </c>
      <c r="Q20" t="str">
        <v>00</v>
      </c>
      <c r="R20" t="str">
        <v>02/04/2026</v>
      </c>
      <c r="T20" t="s">
        <v>119</v>
      </c>
      <c r="U20" t="str">
        <v>/2026</v>
      </c>
    </row>
    <row r="21" spans="1:21" ht="28.8" x14ac:dyDescent="0.3">
      <c r="A21" s="3" t="s">
        <v>90</v>
      </c>
      <c r="B21" s="3" t="s">
        <v>91</v>
      </c>
      <c r="C21" s="3" t="s">
        <v>12</v>
      </c>
      <c r="D21" s="3" t="s">
        <v>13</v>
      </c>
      <c r="E21" s="4">
        <v>46119</v>
      </c>
      <c r="F21" s="3" t="s">
        <v>31</v>
      </c>
      <c r="G21" s="3" t="s">
        <v>92</v>
      </c>
      <c r="H21" s="3" t="s">
        <v>16</v>
      </c>
      <c r="I21" s="3">
        <v>2</v>
      </c>
      <c r="J21" s="3">
        <v>3000</v>
      </c>
      <c r="M21" t="str">
        <v>worst salary</v>
      </c>
      <c r="N21" t="e">
        <v>#N/A</v>
      </c>
      <c r="O21">
        <v>15</v>
      </c>
      <c r="P21" t="str">
        <v>Offi</v>
      </c>
      <c r="Q21" t="str">
        <v>00</v>
      </c>
      <c r="R21" t="str">
        <v>07/04/2026</v>
      </c>
      <c r="T21" t="s">
        <v>120</v>
      </c>
      <c r="U21" t="str">
        <v>/2026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6B79-BD39-4B96-A4EB-B2A5F67CF86A}">
  <dimension ref="A1:O21"/>
  <sheetViews>
    <sheetView workbookViewId="0">
      <selection activeCell="G8" sqref="G8"/>
    </sheetView>
  </sheetViews>
  <sheetFormatPr defaultRowHeight="14.4" x14ac:dyDescent="0.3"/>
  <cols>
    <col min="1" max="2" width="16.6640625" customWidth="1"/>
    <col min="3" max="3" width="16.21875" customWidth="1"/>
    <col min="4" max="4" width="13.88671875" customWidth="1"/>
    <col min="5" max="5" width="14.109375" customWidth="1"/>
    <col min="6" max="6" width="14.21875" customWidth="1"/>
    <col min="7" max="7" width="12.5546875" customWidth="1"/>
    <col min="8" max="9" width="12.33203125" customWidth="1"/>
    <col min="11" max="11" width="13.77734375" customWidth="1"/>
    <col min="12" max="12" width="35.109375" customWidth="1"/>
    <col min="13" max="13" width="17.109375" customWidth="1"/>
    <col min="14" max="14" width="14.5546875" customWidth="1"/>
    <col min="15" max="15" width="15" customWidth="1"/>
  </cols>
  <sheetData>
    <row r="1" spans="1:1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</row>
    <row r="2" spans="1:15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46027</v>
      </c>
      <c r="F2" s="3" t="s">
        <v>14</v>
      </c>
      <c r="G2" s="3" t="s">
        <v>15</v>
      </c>
      <c r="H2" s="3" t="s">
        <v>16</v>
      </c>
      <c r="I2" s="3">
        <v>2</v>
      </c>
      <c r="J2" s="3">
        <v>2400</v>
      </c>
      <c r="K2" t="str" cm="1">
        <f t="array" ref="K2:K21">TRIM(G2:G21)</f>
        <v>Laptop Stand</v>
      </c>
      <c r="L2" t="str">
        <f>CONCATENATE(F2,".",C2,"@gmail.com")</f>
        <v>Technology.Bengaluru@gmail.com</v>
      </c>
      <c r="M2" s="11" t="str">
        <f>SUBSTITUTE(TEXT(E2,"dd-mm-yyyy"),"-","/")</f>
        <v>05/01/2026</v>
      </c>
      <c r="N2" t="str">
        <f>SUBSTITUTE(TEXT(E2,"dd-mm-yyyy"),"-","/",1)</f>
        <v>05/01-2026</v>
      </c>
      <c r="O2" t="str">
        <f>SUBSTITUTE(TEXT(E2,"dd-mm-yyyy"),"-","/",2)</f>
        <v>05-01/2026</v>
      </c>
    </row>
    <row r="3" spans="1:15" ht="28.8" x14ac:dyDescent="0.3">
      <c r="A3" s="3" t="s">
        <v>17</v>
      </c>
      <c r="B3" s="3" t="s">
        <v>18</v>
      </c>
      <c r="C3" s="3" t="s">
        <v>19</v>
      </c>
      <c r="D3" s="3" t="s">
        <v>13</v>
      </c>
      <c r="E3" s="4">
        <v>46030</v>
      </c>
      <c r="F3" s="3" t="s">
        <v>20</v>
      </c>
      <c r="G3" s="3" t="s">
        <v>21</v>
      </c>
      <c r="H3" s="3" t="s">
        <v>16</v>
      </c>
      <c r="I3" s="3">
        <v>1</v>
      </c>
      <c r="J3" s="3">
        <v>5500</v>
      </c>
      <c r="K3" t="str">
        <v>Office Chair</v>
      </c>
      <c r="L3" t="str">
        <f t="shared" ref="L3:L21" si="0">CONCATENATE(F3,".",C3,"@gmail.com")</f>
        <v>Furniture.Mysuru@gmail.com</v>
      </c>
      <c r="M3" s="11" t="str">
        <f t="shared" ref="M3:M21" si="1">SUBSTITUTE(TEXT(E3,"dd-mm-yyyy"),"-","/")</f>
        <v>08/01/2026</v>
      </c>
      <c r="N3" t="str">
        <f>SUBSTITUTE(TEXT(E3,"dd-mm-yyyy"),"-","/",1)</f>
        <v>08/01-2026</v>
      </c>
      <c r="O3" t="str">
        <f t="shared" ref="O3:O6" si="2">SUBSTITUTE(TEXT(E3,"dd-mm-yyyy"),"-","/",2)</f>
        <v>08-01/2026</v>
      </c>
    </row>
    <row r="4" spans="1:15" ht="28.8" x14ac:dyDescent="0.3">
      <c r="A4" s="3" t="s">
        <v>22</v>
      </c>
      <c r="B4" s="3" t="s">
        <v>23</v>
      </c>
      <c r="C4" s="3" t="s">
        <v>24</v>
      </c>
      <c r="D4" s="3" t="s">
        <v>25</v>
      </c>
      <c r="E4" s="4">
        <v>46034</v>
      </c>
      <c r="F4" s="3" t="s">
        <v>14</v>
      </c>
      <c r="G4" s="3" t="s">
        <v>26</v>
      </c>
      <c r="H4" s="3" t="s">
        <v>16</v>
      </c>
      <c r="I4" s="3">
        <v>3</v>
      </c>
      <c r="J4" s="3">
        <v>1800</v>
      </c>
      <c r="K4" t="str">
        <v>Wireless Mouse</v>
      </c>
      <c r="L4" t="str">
        <f t="shared" si="0"/>
        <v>Technology.Chennai@gmail.com</v>
      </c>
      <c r="M4" s="11" t="str">
        <f t="shared" si="1"/>
        <v>12/01/2026</v>
      </c>
      <c r="N4" t="str">
        <f>SUBSTITUTE(TEXT(E4,"dd-mm-yyyy"),"-","/",1)</f>
        <v>12/01-2026</v>
      </c>
      <c r="O4" t="str">
        <f t="shared" si="2"/>
        <v>12-01/2026</v>
      </c>
    </row>
    <row r="5" spans="1:15" ht="28.8" x14ac:dyDescent="0.3">
      <c r="A5" s="3" t="s">
        <v>27</v>
      </c>
      <c r="B5" s="3" t="s">
        <v>28</v>
      </c>
      <c r="C5" s="3" t="s">
        <v>29</v>
      </c>
      <c r="D5" s="3" t="s">
        <v>30</v>
      </c>
      <c r="E5" s="4">
        <v>46037</v>
      </c>
      <c r="F5" s="3" t="s">
        <v>31</v>
      </c>
      <c r="G5" s="3" t="s">
        <v>32</v>
      </c>
      <c r="H5" s="3" t="s">
        <v>33</v>
      </c>
      <c r="I5" s="3">
        <v>5</v>
      </c>
      <c r="J5" s="3">
        <v>750</v>
      </c>
      <c r="K5" t="str">
        <v>Notebook</v>
      </c>
      <c r="L5" t="str">
        <f t="shared" si="0"/>
        <v>Office Supplies.Mumbai@gmail.com</v>
      </c>
      <c r="M5" s="11" t="str">
        <f t="shared" si="1"/>
        <v>15/01/2026</v>
      </c>
      <c r="O5" t="str">
        <f t="shared" si="2"/>
        <v>15-01/2026</v>
      </c>
    </row>
    <row r="6" spans="1:15" ht="28.8" x14ac:dyDescent="0.3">
      <c r="A6" s="3" t="s">
        <v>34</v>
      </c>
      <c r="B6" s="3" t="s">
        <v>35</v>
      </c>
      <c r="C6" s="3" t="s">
        <v>36</v>
      </c>
      <c r="D6" s="3" t="s">
        <v>37</v>
      </c>
      <c r="E6" s="4">
        <v>46042</v>
      </c>
      <c r="F6" s="3" t="s">
        <v>14</v>
      </c>
      <c r="G6" s="3" t="s">
        <v>38</v>
      </c>
      <c r="H6" s="3" t="s">
        <v>16</v>
      </c>
      <c r="I6" s="3">
        <v>2</v>
      </c>
      <c r="J6" s="3">
        <v>2200</v>
      </c>
      <c r="K6" t="str">
        <v>Keyboard</v>
      </c>
      <c r="L6" t="str">
        <f t="shared" si="0"/>
        <v>Technology.Hyderabad@gmail.com</v>
      </c>
      <c r="M6" s="11" t="str">
        <f t="shared" si="1"/>
        <v>20/01/2026</v>
      </c>
      <c r="O6" t="str">
        <f t="shared" si="2"/>
        <v>20-01/2026</v>
      </c>
    </row>
    <row r="7" spans="1:15" ht="28.8" x14ac:dyDescent="0.3">
      <c r="A7" s="3" t="s">
        <v>39</v>
      </c>
      <c r="B7" s="3" t="s">
        <v>40</v>
      </c>
      <c r="C7" s="3" t="s">
        <v>41</v>
      </c>
      <c r="D7" s="3" t="s">
        <v>30</v>
      </c>
      <c r="E7" s="4">
        <v>46047</v>
      </c>
      <c r="F7" s="3" t="s">
        <v>20</v>
      </c>
      <c r="G7" s="3" t="s">
        <v>42</v>
      </c>
      <c r="H7" s="3" t="s">
        <v>33</v>
      </c>
      <c r="I7" s="3">
        <v>4</v>
      </c>
      <c r="J7" s="3">
        <v>3200</v>
      </c>
      <c r="K7" t="str">
        <v>Desk Lamp</v>
      </c>
      <c r="L7" t="str">
        <f t="shared" si="0"/>
        <v>Furniture.Pune@gmail.com</v>
      </c>
      <c r="M7" s="11" t="str">
        <f t="shared" si="1"/>
        <v>25/01/2026</v>
      </c>
    </row>
    <row r="8" spans="1:15" ht="28.8" x14ac:dyDescent="0.3">
      <c r="A8" s="3" t="s">
        <v>43</v>
      </c>
      <c r="B8" s="3" t="s">
        <v>44</v>
      </c>
      <c r="C8" s="3" t="s">
        <v>45</v>
      </c>
      <c r="D8" s="3" t="s">
        <v>46</v>
      </c>
      <c r="E8" s="4">
        <v>46055</v>
      </c>
      <c r="F8" s="3" t="s">
        <v>31</v>
      </c>
      <c r="G8" s="3" t="s">
        <v>47</v>
      </c>
      <c r="H8" s="3" t="s">
        <v>16</v>
      </c>
      <c r="I8" s="3">
        <v>6</v>
      </c>
      <c r="J8" s="3">
        <v>900</v>
      </c>
      <c r="K8" t="str">
        <v>File Folder</v>
      </c>
      <c r="L8" t="str">
        <f t="shared" si="0"/>
        <v>Office Supplies.Kochi@gmail.com</v>
      </c>
      <c r="M8" s="11" t="str">
        <f t="shared" si="1"/>
        <v>02/02/2026</v>
      </c>
    </row>
    <row r="9" spans="1:15" ht="28.8" x14ac:dyDescent="0.3">
      <c r="A9" s="3" t="s">
        <v>48</v>
      </c>
      <c r="B9" s="3" t="s">
        <v>49</v>
      </c>
      <c r="C9" s="3" t="s">
        <v>50</v>
      </c>
      <c r="D9" s="3" t="s">
        <v>50</v>
      </c>
      <c r="E9" s="4">
        <v>46059</v>
      </c>
      <c r="F9" s="3" t="s">
        <v>14</v>
      </c>
      <c r="G9" s="3" t="s">
        <v>51</v>
      </c>
      <c r="H9" s="3" t="s">
        <v>52</v>
      </c>
      <c r="I9" s="3">
        <v>1</v>
      </c>
      <c r="J9" s="3">
        <v>12500</v>
      </c>
      <c r="K9" t="str">
        <v>Monitor</v>
      </c>
      <c r="L9" t="str">
        <f t="shared" si="0"/>
        <v>Technology.Delhi@gmail.com</v>
      </c>
      <c r="M9" s="11" t="str">
        <f t="shared" si="1"/>
        <v>06/02/2026</v>
      </c>
    </row>
    <row r="10" spans="1:15" ht="28.8" x14ac:dyDescent="0.3">
      <c r="A10" s="3" t="s">
        <v>53</v>
      </c>
      <c r="B10" s="3" t="s">
        <v>54</v>
      </c>
      <c r="C10" s="3" t="s">
        <v>55</v>
      </c>
      <c r="D10" s="3" t="s">
        <v>56</v>
      </c>
      <c r="E10" s="4">
        <v>46063</v>
      </c>
      <c r="F10" s="3" t="s">
        <v>20</v>
      </c>
      <c r="G10" s="3" t="s">
        <v>57</v>
      </c>
      <c r="H10" s="3" t="s">
        <v>52</v>
      </c>
      <c r="I10" s="3">
        <v>2</v>
      </c>
      <c r="J10" s="3">
        <v>6800</v>
      </c>
      <c r="K10" t="str">
        <v>Bookshelf</v>
      </c>
      <c r="L10" t="str">
        <f t="shared" si="0"/>
        <v>Furniture.Jaipur@gmail.com</v>
      </c>
      <c r="M10" s="11" t="str">
        <f t="shared" si="1"/>
        <v>10/02/2026</v>
      </c>
    </row>
    <row r="11" spans="1:15" ht="28.8" x14ac:dyDescent="0.3">
      <c r="A11" s="3" t="s">
        <v>58</v>
      </c>
      <c r="B11" s="3" t="s">
        <v>59</v>
      </c>
      <c r="C11" s="3" t="s">
        <v>60</v>
      </c>
      <c r="D11" s="3" t="s">
        <v>61</v>
      </c>
      <c r="E11" s="4">
        <v>46068</v>
      </c>
      <c r="F11" s="3" t="s">
        <v>31</v>
      </c>
      <c r="G11" s="3" t="s">
        <v>62</v>
      </c>
      <c r="H11" s="3" t="s">
        <v>33</v>
      </c>
      <c r="I11" s="3">
        <v>10</v>
      </c>
      <c r="J11" s="3">
        <v>500</v>
      </c>
      <c r="K11" t="str">
        <v>Pen Set</v>
      </c>
      <c r="L11" t="str">
        <f t="shared" si="0"/>
        <v>Office Supplies.Ahmedabad@gmail.com</v>
      </c>
      <c r="M11" s="11" t="str">
        <f t="shared" si="1"/>
        <v>15/02/2026</v>
      </c>
    </row>
    <row r="12" spans="1:15" ht="28.8" x14ac:dyDescent="0.3">
      <c r="A12" s="3" t="s">
        <v>63</v>
      </c>
      <c r="B12" s="3" t="s">
        <v>64</v>
      </c>
      <c r="C12" s="3" t="s">
        <v>12</v>
      </c>
      <c r="D12" s="3" t="s">
        <v>13</v>
      </c>
      <c r="E12" s="4">
        <v>46073</v>
      </c>
      <c r="F12" s="3" t="s">
        <v>14</v>
      </c>
      <c r="G12" s="3" t="s">
        <v>65</v>
      </c>
      <c r="H12" s="3" t="s">
        <v>16</v>
      </c>
      <c r="I12" s="3">
        <v>2</v>
      </c>
      <c r="J12" s="3">
        <v>3600</v>
      </c>
      <c r="K12" t="str">
        <v>Webcam</v>
      </c>
      <c r="L12" t="str">
        <f t="shared" si="0"/>
        <v>Technology.Bengaluru@gmail.com</v>
      </c>
      <c r="M12" s="11" t="str">
        <f t="shared" si="1"/>
        <v>20/02/2026</v>
      </c>
    </row>
    <row r="13" spans="1:15" ht="28.8" x14ac:dyDescent="0.3">
      <c r="A13" s="3" t="s">
        <v>66</v>
      </c>
      <c r="B13" s="3" t="s">
        <v>67</v>
      </c>
      <c r="C13" s="3" t="s">
        <v>29</v>
      </c>
      <c r="D13" s="3" t="s">
        <v>30</v>
      </c>
      <c r="E13" s="4">
        <v>46078</v>
      </c>
      <c r="F13" s="3" t="s">
        <v>20</v>
      </c>
      <c r="G13" s="3" t="s">
        <v>68</v>
      </c>
      <c r="H13" s="3" t="s">
        <v>33</v>
      </c>
      <c r="I13" s="3">
        <v>1</v>
      </c>
      <c r="J13" s="3">
        <v>7200</v>
      </c>
      <c r="K13" t="str">
        <v>Office Table</v>
      </c>
      <c r="L13" t="str">
        <f t="shared" si="0"/>
        <v>Furniture.Mumbai@gmail.com</v>
      </c>
      <c r="M13" s="11" t="str">
        <f t="shared" si="1"/>
        <v>25/02/2026</v>
      </c>
    </row>
    <row r="14" spans="1:15" ht="28.8" x14ac:dyDescent="0.3">
      <c r="A14" s="3" t="s">
        <v>69</v>
      </c>
      <c r="B14" s="3" t="s">
        <v>70</v>
      </c>
      <c r="C14" s="3" t="s">
        <v>24</v>
      </c>
      <c r="D14" s="3" t="s">
        <v>25</v>
      </c>
      <c r="E14" s="4">
        <v>46084</v>
      </c>
      <c r="F14" s="3" t="s">
        <v>14</v>
      </c>
      <c r="G14" s="3" t="s">
        <v>71</v>
      </c>
      <c r="H14" s="3" t="s">
        <v>16</v>
      </c>
      <c r="I14" s="3">
        <v>3</v>
      </c>
      <c r="J14" s="3">
        <v>4500</v>
      </c>
      <c r="K14" t="str">
        <v>Headphones</v>
      </c>
      <c r="L14" t="str">
        <f t="shared" si="0"/>
        <v>Technology.Chennai@gmail.com</v>
      </c>
      <c r="M14" s="11" t="str">
        <f t="shared" si="1"/>
        <v>03/03/2026</v>
      </c>
    </row>
    <row r="15" spans="1:15" ht="28.8" x14ac:dyDescent="0.3">
      <c r="A15" s="3" t="s">
        <v>72</v>
      </c>
      <c r="B15" s="3" t="s">
        <v>73</v>
      </c>
      <c r="C15" s="3" t="s">
        <v>50</v>
      </c>
      <c r="D15" s="3" t="s">
        <v>50</v>
      </c>
      <c r="E15" s="4">
        <v>46089</v>
      </c>
      <c r="F15" s="3" t="s">
        <v>31</v>
      </c>
      <c r="G15" s="3" t="s">
        <v>74</v>
      </c>
      <c r="H15" s="3" t="s">
        <v>52</v>
      </c>
      <c r="I15" s="3">
        <v>4</v>
      </c>
      <c r="J15" s="3">
        <v>800</v>
      </c>
      <c r="K15" t="str">
        <v>Stapler</v>
      </c>
      <c r="L15" t="str">
        <f t="shared" si="0"/>
        <v>Office Supplies.Delhi@gmail.com</v>
      </c>
      <c r="M15" s="11" t="str">
        <f t="shared" si="1"/>
        <v>08/03/2026</v>
      </c>
    </row>
    <row r="16" spans="1:15" ht="28.8" x14ac:dyDescent="0.3">
      <c r="A16" s="3" t="s">
        <v>75</v>
      </c>
      <c r="B16" s="3" t="s">
        <v>76</v>
      </c>
      <c r="C16" s="3" t="s">
        <v>45</v>
      </c>
      <c r="D16" s="3" t="s">
        <v>46</v>
      </c>
      <c r="E16" s="4">
        <v>46093</v>
      </c>
      <c r="F16" s="3" t="s">
        <v>20</v>
      </c>
      <c r="G16" s="3" t="s">
        <v>77</v>
      </c>
      <c r="H16" s="3" t="s">
        <v>16</v>
      </c>
      <c r="I16" s="3">
        <v>1</v>
      </c>
      <c r="J16" s="3">
        <v>8500</v>
      </c>
      <c r="K16" t="str">
        <v>Computer Desk</v>
      </c>
      <c r="L16" t="str">
        <f t="shared" si="0"/>
        <v>Furniture.Kochi@gmail.com</v>
      </c>
      <c r="M16" s="11" t="str">
        <f t="shared" si="1"/>
        <v>12/03/2026</v>
      </c>
    </row>
    <row r="17" spans="1:13" ht="28.8" x14ac:dyDescent="0.3">
      <c r="A17" s="3" t="s">
        <v>78</v>
      </c>
      <c r="B17" s="3" t="s">
        <v>79</v>
      </c>
      <c r="C17" s="3" t="s">
        <v>36</v>
      </c>
      <c r="D17" s="3" t="s">
        <v>37</v>
      </c>
      <c r="E17" s="4">
        <v>46099</v>
      </c>
      <c r="F17" s="3" t="s">
        <v>14</v>
      </c>
      <c r="G17" s="3" t="s">
        <v>80</v>
      </c>
      <c r="H17" s="3" t="s">
        <v>16</v>
      </c>
      <c r="I17" s="3">
        <v>5</v>
      </c>
      <c r="J17" s="3">
        <v>2750</v>
      </c>
      <c r="K17" t="str">
        <v>USB Hub</v>
      </c>
      <c r="L17" t="str">
        <f t="shared" si="0"/>
        <v>Technology.Hyderabad@gmail.com</v>
      </c>
      <c r="M17" s="11" t="str">
        <f t="shared" si="1"/>
        <v>18/03/2026</v>
      </c>
    </row>
    <row r="18" spans="1:13" ht="28.8" x14ac:dyDescent="0.3">
      <c r="A18" s="3" t="s">
        <v>81</v>
      </c>
      <c r="B18" s="3" t="s">
        <v>82</v>
      </c>
      <c r="C18" s="3" t="s">
        <v>41</v>
      </c>
      <c r="D18" s="3" t="s">
        <v>30</v>
      </c>
      <c r="E18" s="4">
        <v>46103</v>
      </c>
      <c r="F18" s="3" t="s">
        <v>31</v>
      </c>
      <c r="G18" s="3" t="s">
        <v>83</v>
      </c>
      <c r="H18" s="3" t="s">
        <v>33</v>
      </c>
      <c r="I18" s="3">
        <v>3</v>
      </c>
      <c r="J18" s="3">
        <v>2100</v>
      </c>
      <c r="K18" t="str">
        <v>Calculator</v>
      </c>
      <c r="L18" t="str">
        <f t="shared" si="0"/>
        <v>Office Supplies.Pune@gmail.com</v>
      </c>
      <c r="M18" s="11" t="str">
        <f t="shared" si="1"/>
        <v>22/03/2026</v>
      </c>
    </row>
    <row r="19" spans="1:13" ht="28.8" x14ac:dyDescent="0.3">
      <c r="A19" s="3" t="s">
        <v>84</v>
      </c>
      <c r="B19" s="3" t="s">
        <v>85</v>
      </c>
      <c r="C19" s="3" t="s">
        <v>55</v>
      </c>
      <c r="D19" s="3" t="s">
        <v>56</v>
      </c>
      <c r="E19" s="4">
        <v>46108</v>
      </c>
      <c r="F19" s="3" t="s">
        <v>14</v>
      </c>
      <c r="G19" s="3" t="s">
        <v>86</v>
      </c>
      <c r="H19" s="3" t="s">
        <v>52</v>
      </c>
      <c r="I19" s="3">
        <v>1</v>
      </c>
      <c r="J19" s="3">
        <v>9800</v>
      </c>
      <c r="K19" t="str">
        <v>Printer</v>
      </c>
      <c r="L19" t="str">
        <f t="shared" si="0"/>
        <v>Technology.Jaipur@gmail.com</v>
      </c>
      <c r="M19" s="11" t="str">
        <f t="shared" si="1"/>
        <v>27/03/2026</v>
      </c>
    </row>
    <row r="20" spans="1:13" ht="28.8" x14ac:dyDescent="0.3">
      <c r="A20" s="3" t="s">
        <v>87</v>
      </c>
      <c r="B20" s="3" t="s">
        <v>88</v>
      </c>
      <c r="C20" s="3" t="s">
        <v>60</v>
      </c>
      <c r="D20" s="3" t="s">
        <v>61</v>
      </c>
      <c r="E20" s="4">
        <v>46114</v>
      </c>
      <c r="F20" s="3" t="s">
        <v>20</v>
      </c>
      <c r="G20" s="3" t="s">
        <v>89</v>
      </c>
      <c r="H20" s="3" t="s">
        <v>33</v>
      </c>
      <c r="I20" s="3">
        <v>2</v>
      </c>
      <c r="J20" s="3">
        <v>6100</v>
      </c>
      <c r="K20" t="str">
        <v>Filing Cabinet</v>
      </c>
      <c r="L20" t="str">
        <f t="shared" si="0"/>
        <v>Furniture.Ahmedabad@gmail.com</v>
      </c>
      <c r="M20" s="11" t="str">
        <f t="shared" si="1"/>
        <v>02/04/2026</v>
      </c>
    </row>
    <row r="21" spans="1:13" ht="28.8" x14ac:dyDescent="0.3">
      <c r="A21" s="3" t="s">
        <v>90</v>
      </c>
      <c r="B21" s="3" t="s">
        <v>91</v>
      </c>
      <c r="C21" s="3" t="s">
        <v>12</v>
      </c>
      <c r="D21" s="3" t="s">
        <v>13</v>
      </c>
      <c r="E21" s="4">
        <v>46119</v>
      </c>
      <c r="F21" s="3" t="s">
        <v>31</v>
      </c>
      <c r="G21" s="3" t="s">
        <v>92</v>
      </c>
      <c r="H21" s="3" t="s">
        <v>16</v>
      </c>
      <c r="I21" s="3">
        <v>2</v>
      </c>
      <c r="J21" s="3">
        <v>3000</v>
      </c>
      <c r="K21" t="str">
        <v>Whiteboard</v>
      </c>
      <c r="L21" t="str">
        <f t="shared" si="0"/>
        <v>Office Supplies.Bengaluru@gmail.com</v>
      </c>
      <c r="M21" s="11" t="str">
        <f t="shared" si="1"/>
        <v>07/04/2026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29BF-94FA-4EC1-94B1-AAFFD779BA20}">
  <dimension ref="A1:P21"/>
  <sheetViews>
    <sheetView tabSelected="1" workbookViewId="0">
      <selection activeCell="Q1" sqref="Q1"/>
    </sheetView>
  </sheetViews>
  <sheetFormatPr defaultRowHeight="14.4" x14ac:dyDescent="0.3"/>
  <cols>
    <col min="1" max="1" width="17.77734375" customWidth="1"/>
    <col min="2" max="2" width="15" customWidth="1"/>
    <col min="3" max="3" width="17.77734375" customWidth="1"/>
    <col min="4" max="4" width="14" customWidth="1"/>
    <col min="5" max="5" width="14.44140625" customWidth="1"/>
    <col min="6" max="6" width="13.109375" customWidth="1"/>
  </cols>
  <sheetData>
    <row r="1" spans="1:16" ht="17.399999999999999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6</v>
      </c>
      <c r="H1" t="s">
        <v>7</v>
      </c>
      <c r="I1" t="s">
        <v>8</v>
      </c>
      <c r="J1" t="s">
        <v>9</v>
      </c>
      <c r="K1" s="12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</row>
    <row r="2" spans="1:16" x14ac:dyDescent="0.3">
      <c r="A2" t="s">
        <v>10</v>
      </c>
      <c r="B2" t="s">
        <v>11</v>
      </c>
      <c r="C2" t="s">
        <v>12</v>
      </c>
      <c r="D2" t="s">
        <v>13</v>
      </c>
      <c r="E2">
        <v>46027</v>
      </c>
      <c r="F2" t="s">
        <v>14</v>
      </c>
      <c r="G2" t="s">
        <v>15</v>
      </c>
      <c r="H2" t="s">
        <v>16</v>
      </c>
      <c r="I2">
        <v>2</v>
      </c>
      <c r="J2">
        <v>2400</v>
      </c>
      <c r="K2">
        <f>SUM(J2:J21)</f>
        <v>84900</v>
      </c>
      <c r="L2">
        <f>SUMIF(J2:J21,"&gt;9000")</f>
        <v>22300</v>
      </c>
      <c r="M2">
        <f>SUMIFS(J2:J21,C2:C21,"Delhi",I2:I21,"&gt;=2")</f>
        <v>800</v>
      </c>
      <c r="N2">
        <f>COUNT(J2:J21)</f>
        <v>20</v>
      </c>
      <c r="O2">
        <f>COUNTIF(J2:J21,"&gt;9000")</f>
        <v>2</v>
      </c>
      <c r="P2">
        <f>SUMIFS(J2:J21,C2:C21,"Delhi",I2:I21,"&gt;=2")</f>
        <v>800</v>
      </c>
    </row>
    <row r="3" spans="1:16" x14ac:dyDescent="0.3">
      <c r="A3" t="s">
        <v>17</v>
      </c>
      <c r="B3" t="s">
        <v>18</v>
      </c>
      <c r="C3" t="s">
        <v>19</v>
      </c>
      <c r="D3" t="s">
        <v>13</v>
      </c>
      <c r="E3">
        <v>46030</v>
      </c>
      <c r="F3" t="s">
        <v>20</v>
      </c>
      <c r="G3" t="s">
        <v>21</v>
      </c>
      <c r="H3" t="s">
        <v>16</v>
      </c>
      <c r="I3">
        <v>1</v>
      </c>
      <c r="J3">
        <v>5500</v>
      </c>
    </row>
    <row r="4" spans="1:16" x14ac:dyDescent="0.3">
      <c r="A4" t="s">
        <v>22</v>
      </c>
      <c r="B4" t="s">
        <v>23</v>
      </c>
      <c r="C4" t="s">
        <v>24</v>
      </c>
      <c r="D4" t="s">
        <v>25</v>
      </c>
      <c r="E4">
        <v>46034</v>
      </c>
      <c r="F4" t="s">
        <v>14</v>
      </c>
      <c r="G4" t="s">
        <v>26</v>
      </c>
      <c r="H4" t="s">
        <v>16</v>
      </c>
      <c r="I4">
        <v>3</v>
      </c>
      <c r="J4">
        <v>1800</v>
      </c>
    </row>
    <row r="5" spans="1:16" x14ac:dyDescent="0.3">
      <c r="A5" t="s">
        <v>27</v>
      </c>
      <c r="B5" t="s">
        <v>28</v>
      </c>
      <c r="C5" t="s">
        <v>29</v>
      </c>
      <c r="D5" t="s">
        <v>30</v>
      </c>
      <c r="E5">
        <v>46037</v>
      </c>
      <c r="F5" t="s">
        <v>31</v>
      </c>
      <c r="G5" t="s">
        <v>32</v>
      </c>
      <c r="H5" t="s">
        <v>33</v>
      </c>
      <c r="I5">
        <v>5</v>
      </c>
      <c r="J5">
        <v>750</v>
      </c>
    </row>
    <row r="6" spans="1:16" x14ac:dyDescent="0.3">
      <c r="A6" t="s">
        <v>34</v>
      </c>
      <c r="B6" t="s">
        <v>35</v>
      </c>
      <c r="C6" t="s">
        <v>36</v>
      </c>
      <c r="D6" t="s">
        <v>37</v>
      </c>
      <c r="E6">
        <v>46042</v>
      </c>
      <c r="F6" t="s">
        <v>14</v>
      </c>
      <c r="G6" t="s">
        <v>38</v>
      </c>
      <c r="H6" t="s">
        <v>16</v>
      </c>
      <c r="I6">
        <v>2</v>
      </c>
      <c r="J6">
        <v>2200</v>
      </c>
    </row>
    <row r="7" spans="1:16" x14ac:dyDescent="0.3">
      <c r="A7" t="s">
        <v>39</v>
      </c>
      <c r="B7" t="s">
        <v>40</v>
      </c>
      <c r="C7" t="s">
        <v>41</v>
      </c>
      <c r="D7" t="s">
        <v>30</v>
      </c>
      <c r="E7">
        <v>46047</v>
      </c>
      <c r="F7" t="s">
        <v>20</v>
      </c>
      <c r="G7" t="s">
        <v>42</v>
      </c>
      <c r="H7" t="s">
        <v>33</v>
      </c>
      <c r="I7">
        <v>4</v>
      </c>
      <c r="J7">
        <v>3200</v>
      </c>
    </row>
    <row r="8" spans="1:16" x14ac:dyDescent="0.3">
      <c r="A8" t="s">
        <v>43</v>
      </c>
      <c r="B8" t="s">
        <v>44</v>
      </c>
      <c r="C8" t="s">
        <v>45</v>
      </c>
      <c r="D8" t="s">
        <v>46</v>
      </c>
      <c r="E8">
        <v>46055</v>
      </c>
      <c r="F8" t="s">
        <v>31</v>
      </c>
      <c r="G8" t="s">
        <v>47</v>
      </c>
      <c r="H8" t="s">
        <v>16</v>
      </c>
      <c r="I8">
        <v>6</v>
      </c>
      <c r="J8">
        <v>900</v>
      </c>
    </row>
    <row r="9" spans="1:16" x14ac:dyDescent="0.3">
      <c r="A9" t="s">
        <v>48</v>
      </c>
      <c r="B9" t="s">
        <v>49</v>
      </c>
      <c r="C9" t="s">
        <v>50</v>
      </c>
      <c r="D9" t="s">
        <v>50</v>
      </c>
      <c r="E9">
        <v>46059</v>
      </c>
      <c r="F9" t="s">
        <v>14</v>
      </c>
      <c r="G9" t="s">
        <v>51</v>
      </c>
      <c r="H9" t="s">
        <v>52</v>
      </c>
      <c r="I9">
        <v>1</v>
      </c>
      <c r="J9">
        <v>12500</v>
      </c>
    </row>
    <row r="10" spans="1:16" x14ac:dyDescent="0.3">
      <c r="A10" t="s">
        <v>53</v>
      </c>
      <c r="B10" t="s">
        <v>54</v>
      </c>
      <c r="C10" t="s">
        <v>55</v>
      </c>
      <c r="D10" t="s">
        <v>56</v>
      </c>
      <c r="E10">
        <v>46063</v>
      </c>
      <c r="F10" t="s">
        <v>20</v>
      </c>
      <c r="G10" t="s">
        <v>57</v>
      </c>
      <c r="H10" t="s">
        <v>52</v>
      </c>
      <c r="I10">
        <v>2</v>
      </c>
      <c r="J10">
        <v>6800</v>
      </c>
    </row>
    <row r="11" spans="1:16" x14ac:dyDescent="0.3">
      <c r="A11" t="s">
        <v>58</v>
      </c>
      <c r="B11" t="s">
        <v>59</v>
      </c>
      <c r="C11" t="s">
        <v>60</v>
      </c>
      <c r="D11" t="s">
        <v>61</v>
      </c>
      <c r="E11">
        <v>46068</v>
      </c>
      <c r="F11" t="s">
        <v>31</v>
      </c>
      <c r="G11" t="s">
        <v>62</v>
      </c>
      <c r="H11" t="s">
        <v>33</v>
      </c>
      <c r="I11">
        <v>10</v>
      </c>
      <c r="J11">
        <v>500</v>
      </c>
    </row>
    <row r="12" spans="1:16" x14ac:dyDescent="0.3">
      <c r="A12" t="s">
        <v>63</v>
      </c>
      <c r="B12" t="s">
        <v>64</v>
      </c>
      <c r="C12" t="s">
        <v>12</v>
      </c>
      <c r="D12" t="s">
        <v>13</v>
      </c>
      <c r="E12">
        <v>46073</v>
      </c>
      <c r="F12" t="s">
        <v>14</v>
      </c>
      <c r="G12" t="s">
        <v>65</v>
      </c>
      <c r="H12" t="s">
        <v>16</v>
      </c>
      <c r="I12">
        <v>2</v>
      </c>
      <c r="J12">
        <v>3600</v>
      </c>
    </row>
    <row r="13" spans="1:16" x14ac:dyDescent="0.3">
      <c r="A13" t="s">
        <v>66</v>
      </c>
      <c r="B13" t="s">
        <v>67</v>
      </c>
      <c r="C13" t="s">
        <v>29</v>
      </c>
      <c r="D13" t="s">
        <v>30</v>
      </c>
      <c r="E13">
        <v>46078</v>
      </c>
      <c r="F13" t="s">
        <v>20</v>
      </c>
      <c r="G13" t="s">
        <v>68</v>
      </c>
      <c r="H13" t="s">
        <v>33</v>
      </c>
      <c r="I13">
        <v>1</v>
      </c>
      <c r="J13">
        <v>7200</v>
      </c>
    </row>
    <row r="14" spans="1:16" x14ac:dyDescent="0.3">
      <c r="A14" t="s">
        <v>69</v>
      </c>
      <c r="B14" t="s">
        <v>70</v>
      </c>
      <c r="C14" t="s">
        <v>24</v>
      </c>
      <c r="D14" t="s">
        <v>25</v>
      </c>
      <c r="E14">
        <v>46084</v>
      </c>
      <c r="F14" t="s">
        <v>14</v>
      </c>
      <c r="G14" t="s">
        <v>71</v>
      </c>
      <c r="H14" t="s">
        <v>16</v>
      </c>
      <c r="I14">
        <v>3</v>
      </c>
      <c r="J14">
        <v>4500</v>
      </c>
    </row>
    <row r="15" spans="1:16" x14ac:dyDescent="0.3">
      <c r="A15" t="s">
        <v>72</v>
      </c>
      <c r="B15" t="s">
        <v>73</v>
      </c>
      <c r="C15" t="s">
        <v>50</v>
      </c>
      <c r="D15" t="s">
        <v>50</v>
      </c>
      <c r="E15">
        <v>46089</v>
      </c>
      <c r="F15" t="s">
        <v>31</v>
      </c>
      <c r="G15" t="s">
        <v>74</v>
      </c>
      <c r="H15" t="s">
        <v>52</v>
      </c>
      <c r="I15">
        <v>4</v>
      </c>
      <c r="J15">
        <v>800</v>
      </c>
    </row>
    <row r="16" spans="1:16" x14ac:dyDescent="0.3">
      <c r="A16" t="s">
        <v>75</v>
      </c>
      <c r="B16" t="s">
        <v>76</v>
      </c>
      <c r="C16" t="s">
        <v>45</v>
      </c>
      <c r="D16" t="s">
        <v>46</v>
      </c>
      <c r="E16">
        <v>46093</v>
      </c>
      <c r="F16" t="s">
        <v>20</v>
      </c>
      <c r="G16" t="s">
        <v>77</v>
      </c>
      <c r="H16" t="s">
        <v>16</v>
      </c>
      <c r="I16">
        <v>1</v>
      </c>
      <c r="J16">
        <v>8500</v>
      </c>
    </row>
    <row r="17" spans="1:10" x14ac:dyDescent="0.3">
      <c r="A17" t="s">
        <v>78</v>
      </c>
      <c r="B17" t="s">
        <v>79</v>
      </c>
      <c r="C17" t="s">
        <v>36</v>
      </c>
      <c r="D17" t="s">
        <v>37</v>
      </c>
      <c r="E17">
        <v>46099</v>
      </c>
      <c r="F17" t="s">
        <v>14</v>
      </c>
      <c r="G17" t="s">
        <v>80</v>
      </c>
      <c r="H17" t="s">
        <v>16</v>
      </c>
      <c r="I17">
        <v>5</v>
      </c>
      <c r="J17">
        <v>2750</v>
      </c>
    </row>
    <row r="18" spans="1:10" x14ac:dyDescent="0.3">
      <c r="A18" t="s">
        <v>81</v>
      </c>
      <c r="B18" t="s">
        <v>82</v>
      </c>
      <c r="C18" t="s">
        <v>41</v>
      </c>
      <c r="D18" t="s">
        <v>30</v>
      </c>
      <c r="E18">
        <v>46103</v>
      </c>
      <c r="F18" t="s">
        <v>31</v>
      </c>
      <c r="G18" t="s">
        <v>83</v>
      </c>
      <c r="H18" t="s">
        <v>33</v>
      </c>
      <c r="I18">
        <v>3</v>
      </c>
      <c r="J18">
        <v>2100</v>
      </c>
    </row>
    <row r="19" spans="1:10" x14ac:dyDescent="0.3">
      <c r="A19" t="s">
        <v>84</v>
      </c>
      <c r="B19" t="s">
        <v>85</v>
      </c>
      <c r="C19" t="s">
        <v>55</v>
      </c>
      <c r="D19" t="s">
        <v>56</v>
      </c>
      <c r="E19">
        <v>46108</v>
      </c>
      <c r="F19" t="s">
        <v>14</v>
      </c>
      <c r="G19" t="s">
        <v>86</v>
      </c>
      <c r="H19" t="s">
        <v>52</v>
      </c>
      <c r="I19">
        <v>1</v>
      </c>
      <c r="J19">
        <v>9800</v>
      </c>
    </row>
    <row r="20" spans="1:10" x14ac:dyDescent="0.3">
      <c r="A20" t="s">
        <v>87</v>
      </c>
      <c r="B20" t="s">
        <v>88</v>
      </c>
      <c r="C20" t="s">
        <v>60</v>
      </c>
      <c r="D20" t="s">
        <v>61</v>
      </c>
      <c r="E20">
        <v>46114</v>
      </c>
      <c r="F20" t="s">
        <v>20</v>
      </c>
      <c r="G20" t="s">
        <v>89</v>
      </c>
      <c r="H20" t="s">
        <v>33</v>
      </c>
      <c r="I20">
        <v>2</v>
      </c>
      <c r="J20">
        <v>6100</v>
      </c>
    </row>
    <row r="21" spans="1:10" x14ac:dyDescent="0.3">
      <c r="A21" t="s">
        <v>90</v>
      </c>
      <c r="B21" t="s">
        <v>91</v>
      </c>
      <c r="C21" t="s">
        <v>12</v>
      </c>
      <c r="D21" t="s">
        <v>13</v>
      </c>
      <c r="E21">
        <v>46119</v>
      </c>
      <c r="F21" t="s">
        <v>31</v>
      </c>
      <c r="G21" t="s">
        <v>92</v>
      </c>
      <c r="H21" t="s">
        <v>16</v>
      </c>
      <c r="I21">
        <v>2</v>
      </c>
      <c r="J2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excel2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RANGANATH B M</dc:creator>
  <cp:lastModifiedBy>RANGANATH B M</cp:lastModifiedBy>
  <dcterms:created xsi:type="dcterms:W3CDTF">2026-09-07T16:30:32Z</dcterms:created>
  <dcterms:modified xsi:type="dcterms:W3CDTF">2026-09-07T18:04:28Z</dcterms:modified>
</cp:coreProperties>
</file>